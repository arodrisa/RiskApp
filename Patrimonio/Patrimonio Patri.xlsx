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2025-01-06" sheetId="2" r:id="rId6"/>
    <sheet state="visible" name="2025-02-06" sheetId="3" r:id="rId7"/>
    <sheet state="visible" name="2025-03-06" sheetId="4" r:id="rId8"/>
    <sheet state="visible" name="2025-04-13" sheetId="5" r:id="rId9"/>
    <sheet state="visible" name="2025-05-05" sheetId="6" r:id="rId10"/>
    <sheet state="visible" name="2025-06-09" sheetId="7" r:id="rId11"/>
    <sheet state="visible" name="2025-07-05" sheetId="8" r:id="rId12"/>
    <sheet state="visible" name="2025-08-06" sheetId="9" r:id="rId13"/>
    <sheet state="visible" name="2025-09-05" sheetId="10" r:id="rId14"/>
    <sheet state="visible" name="2025-10-12" sheetId="11" r:id="rId15"/>
    <sheet state="visible" name="2025-11-07" sheetId="12" r:id="rId16"/>
    <sheet state="visible" name="2025-12-07" sheetId="13" r:id="rId17"/>
    <sheet state="visible" name="2026-01-12" sheetId="14" r:id="rId18"/>
    <sheet state="visible" name="2026-02-11" sheetId="15" r:id="rId19"/>
    <sheet state="visible" name="2026-03-12" sheetId="16" r:id="rId20"/>
    <sheet state="visible" name="2026-04-06" sheetId="17" r:id="rId21"/>
    <sheet state="visible" name="2026-05-11" sheetId="18" r:id="rId22"/>
    <sheet state="visible" name="2026-06-07" sheetId="19" r:id="rId23"/>
    <sheet state="visible" name="2026-07-05" sheetId="20" r:id="rId24"/>
  </sheets>
  <definedNames>
    <definedName hidden="1" localSheetId="1" name="_xlnm._FilterDatabase">'2025-01-06'!$A$4:$E$14</definedName>
    <definedName hidden="1" localSheetId="2" name="_xlnm._FilterDatabase">'2025-02-06'!$A$4:$E$14</definedName>
    <definedName hidden="1" localSheetId="3" name="_xlnm._FilterDatabase">'2025-03-06'!$A$4:$E$14</definedName>
    <definedName hidden="1" localSheetId="4" name="_xlnm._FilterDatabase">'2025-04-13'!$A$4:$E$14</definedName>
    <definedName hidden="1" localSheetId="5" name="_xlnm._FilterDatabase">'2025-05-05'!$A$4:$E$14</definedName>
    <definedName hidden="1" localSheetId="6" name="_xlnm._FilterDatabase">'2025-06-09'!$A$4:$E$14</definedName>
    <definedName hidden="1" localSheetId="7" name="_xlnm._FilterDatabase">'2025-07-05'!$A$4:$E$14</definedName>
    <definedName hidden="1" localSheetId="8" name="_xlnm._FilterDatabase">'2025-08-06'!$A$4:$E$14</definedName>
    <definedName hidden="1" localSheetId="9" name="_xlnm._FilterDatabase">'2025-09-05'!$A$4:$E$14</definedName>
    <definedName hidden="1" localSheetId="10" name="_xlnm._FilterDatabase">'2025-10-12'!$A$4:$E$14</definedName>
    <definedName hidden="1" localSheetId="11" name="_xlnm._FilterDatabase">'2025-11-07'!$A$4:$E$14</definedName>
    <definedName hidden="1" localSheetId="12" name="_xlnm._FilterDatabase">'2025-12-07'!$A$4:$E$14</definedName>
    <definedName hidden="1" localSheetId="13" name="_xlnm._FilterDatabase">'2026-01-12'!$A$4:$E$14</definedName>
    <definedName hidden="1" localSheetId="14" name="_xlnm._FilterDatabase">'2026-02-11'!$A$4:$E$14</definedName>
    <definedName hidden="1" localSheetId="15" name="_xlnm._FilterDatabase">'2026-03-12'!$A$4:$E$14</definedName>
    <definedName hidden="1" localSheetId="16" name="_xlnm._FilterDatabase">'2026-04-06'!$A$4:$E$16</definedName>
    <definedName hidden="1" localSheetId="17" name="_xlnm._FilterDatabase">'2026-05-11'!$A$4:$E$16</definedName>
    <definedName hidden="1" localSheetId="18" name="_xlnm._FilterDatabase">'2026-06-07'!$A$4:$E$16</definedName>
    <definedName hidden="1" localSheetId="19" name="_xlnm._FilterDatabase">'2026-07-05'!$A$4:$E$16</definedName>
  </definedNames>
  <calcPr/>
</workbook>
</file>

<file path=xl/sharedStrings.xml><?xml version="1.0" encoding="utf-8"?>
<sst xmlns="http://schemas.openxmlformats.org/spreadsheetml/2006/main" count="919" uniqueCount="30">
  <si>
    <t>Casa</t>
  </si>
  <si>
    <t>Inmueble</t>
  </si>
  <si>
    <t>Hereditas</t>
  </si>
  <si>
    <t>RF</t>
  </si>
  <si>
    <t>PP</t>
  </si>
  <si>
    <t>PIAS</t>
  </si>
  <si>
    <t>Crypto</t>
  </si>
  <si>
    <t>CASH</t>
  </si>
  <si>
    <t>Total</t>
  </si>
  <si>
    <t>rate</t>
  </si>
  <si>
    <t>period</t>
  </si>
  <si>
    <t>amount</t>
  </si>
  <si>
    <t>Date</t>
  </si>
  <si>
    <t>Tipo Activo</t>
  </si>
  <si>
    <t>Activo</t>
  </si>
  <si>
    <t>Cantidad</t>
  </si>
  <si>
    <t>NAV</t>
  </si>
  <si>
    <t>Broker</t>
  </si>
  <si>
    <t>Plan Pensiones</t>
  </si>
  <si>
    <t>SIALP</t>
  </si>
  <si>
    <t>BKT</t>
  </si>
  <si>
    <t xml:space="preserve">Fondos </t>
  </si>
  <si>
    <t>Comun</t>
  </si>
  <si>
    <t>RuralVia</t>
  </si>
  <si>
    <t>Patri</t>
  </si>
  <si>
    <t>SAB</t>
  </si>
  <si>
    <t>AQ</t>
  </si>
  <si>
    <t>Acciones</t>
  </si>
  <si>
    <t>IB</t>
  </si>
  <si>
    <t>Revolut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</si>
</sst>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[$€]#,##0.00"/>
    <numFmt numFmtId="166" formatCode="0.000%"/>
    <numFmt numFmtId="167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164" xfId="0" applyFont="1" applyNumberFormat="1"/>
    <xf borderId="0" fillId="2" fontId="1" numFmtId="0" xfId="0" applyAlignment="1" applyFill="1" applyFont="1">
      <alignment readingOrder="0"/>
    </xf>
    <xf borderId="0" fillId="0" fontId="1" numFmtId="166" xfId="0" applyFont="1" applyNumberFormat="1"/>
    <xf borderId="0" fillId="2" fontId="1" numFmtId="0" xfId="0" applyFont="1"/>
    <xf borderId="0" fillId="0" fontId="1" numFmtId="4" xfId="0" applyFont="1" applyNumberFormat="1"/>
    <xf borderId="0" fillId="0" fontId="1" numFmtId="167" xfId="0" applyFont="1" applyNumberFormat="1"/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Patri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Resumen!$B$3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Resumen!$C$3:$F$3</c:f>
              <c:numCache/>
            </c:numRef>
          </c:val>
        </c:ser>
        <c:ser>
          <c:idx val="1"/>
          <c:order val="1"/>
          <c:tx>
            <c:strRef>
              <c:f>Resumen!$B$4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Resumen!$C$4:$F$4</c:f>
              <c:numCache/>
            </c:numRef>
          </c:val>
        </c:ser>
        <c:ser>
          <c:idx val="2"/>
          <c:order val="2"/>
          <c:tx>
            <c:strRef>
              <c:f>Resumen!$B$5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Resumen!$C$5:$F$5</c:f>
              <c:numCache/>
            </c:numRef>
          </c:val>
        </c:ser>
        <c:ser>
          <c:idx val="3"/>
          <c:order val="3"/>
          <c:tx>
            <c:strRef>
              <c:f>Resumen!$B$6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Resumen!$C$6:$F$6</c:f>
              <c:numCache/>
            </c:numRef>
          </c:val>
        </c:ser>
        <c:ser>
          <c:idx val="4"/>
          <c:order val="4"/>
          <c:tx>
            <c:strRef>
              <c:f>Resumen!$B$7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Resumen!$C$7:$F$7</c:f>
              <c:numCache/>
            </c:numRef>
          </c:val>
        </c:ser>
        <c:ser>
          <c:idx val="5"/>
          <c:order val="5"/>
          <c:tx>
            <c:strRef>
              <c:f>Resumen!$B$8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Resumen!$C$8:$F$8</c:f>
              <c:numCache/>
            </c:numRef>
          </c:val>
        </c:ser>
        <c:ser>
          <c:idx val="6"/>
          <c:order val="6"/>
          <c:tx>
            <c:strRef>
              <c:f>Resumen!$B$9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Resumen!$C$9:$F$9</c:f>
              <c:numCache/>
            </c:numRef>
          </c:val>
        </c:ser>
        <c:ser>
          <c:idx val="7"/>
          <c:order val="7"/>
          <c:tx>
            <c:strRef>
              <c:f>Resumen!$B$10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Resumen!$C$10:$F$10</c:f>
              <c:numCache/>
            </c:numRef>
          </c:val>
        </c:ser>
        <c:overlap val="100"/>
        <c:axId val="453131415"/>
        <c:axId val="801462787"/>
      </c:barChart>
      <c:catAx>
        <c:axId val="453131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462787"/>
      </c:catAx>
      <c:valAx>
        <c:axId val="801462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131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Patrimonio Patri</a:t>
            </a:r>
          </a:p>
        </c:rich>
      </c:tx>
      <c:overlay val="0"/>
    </c:title>
    <c:plotArea>
      <c:layout>
        <c:manualLayout>
          <c:xMode val="edge"/>
          <c:yMode val="edge"/>
          <c:x val="0.1103519889465066"/>
          <c:y val="0.281305114638448"/>
          <c:w val="0.7253467010098252"/>
          <c:h val="0.6369488536155202"/>
        </c:manualLayout>
      </c:layout>
      <c:barChart>
        <c:barDir val="col"/>
        <c:grouping val="stacked"/>
        <c:ser>
          <c:idx val="0"/>
          <c:order val="0"/>
          <c:tx>
            <c:strRef>
              <c:f>Resumen!$B$3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Resumen!$C$3:$F$3</c:f>
              <c:numCache/>
            </c:numRef>
          </c:val>
        </c:ser>
        <c:ser>
          <c:idx val="1"/>
          <c:order val="1"/>
          <c:tx>
            <c:strRef>
              <c:f>Resumen!$B$4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Resumen!$C$4:$F$4</c:f>
              <c:numCache/>
            </c:numRef>
          </c:val>
        </c:ser>
        <c:ser>
          <c:idx val="2"/>
          <c:order val="2"/>
          <c:tx>
            <c:strRef>
              <c:f>Resumen!$B$5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Resumen!$C$5:$F$5</c:f>
              <c:numCache/>
            </c:numRef>
          </c:val>
        </c:ser>
        <c:ser>
          <c:idx val="3"/>
          <c:order val="3"/>
          <c:tx>
            <c:strRef>
              <c:f>Resumen!$B$6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Resumen!$C$6:$F$6</c:f>
              <c:numCache/>
            </c:numRef>
          </c:val>
        </c:ser>
        <c:ser>
          <c:idx val="4"/>
          <c:order val="4"/>
          <c:tx>
            <c:strRef>
              <c:f>Resumen!$B$7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Resumen!$C$7:$F$7</c:f>
              <c:numCache/>
            </c:numRef>
          </c:val>
        </c:ser>
        <c:ser>
          <c:idx val="5"/>
          <c:order val="5"/>
          <c:tx>
            <c:strRef>
              <c:f>Resumen!$B$8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Resumen!$C$8:$F$8</c:f>
              <c:numCache/>
            </c:numRef>
          </c:val>
        </c:ser>
        <c:ser>
          <c:idx val="6"/>
          <c:order val="6"/>
          <c:tx>
            <c:strRef>
              <c:f>Resumen!$B$9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Resumen!$C$9:$F$9</c:f>
              <c:numCache/>
            </c:numRef>
          </c:val>
        </c:ser>
        <c:ser>
          <c:idx val="7"/>
          <c:order val="7"/>
          <c:tx>
            <c:strRef>
              <c:f>Resumen!$B$10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Resumen!$C$2:$F$2</c:f>
            </c:strRef>
          </c:cat>
          <c:val>
            <c:numRef>
              <c:f>Resumen!$C$10:$F$10</c:f>
              <c:numCache/>
            </c:numRef>
          </c:val>
        </c:ser>
        <c:overlap val="100"/>
        <c:axId val="842892647"/>
        <c:axId val="1397659383"/>
      </c:barChart>
      <c:catAx>
        <c:axId val="842892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659383"/>
      </c:catAx>
      <c:valAx>
        <c:axId val="1397659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892647"/>
      </c:valAx>
      <c:lineChart>
        <c:varyColors val="0"/>
        <c:ser>
          <c:idx val="8"/>
          <c:order val="8"/>
          <c:tx>
            <c:strRef>
              <c:f>Resumen!$B$25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dPt>
            <c:idx val="4"/>
            <c:marker>
              <c:symbol val="none"/>
            </c:marker>
          </c:dPt>
          <c:dLbls>
            <c:numFmt formatCode="0.00%" sourceLinked="0"/>
            <c:txPr>
              <a:bodyPr/>
              <a:lstStyle/>
              <a:p>
                <a:pPr lvl="0">
                  <a:defRPr>
                    <a:solidFill>
                      <a:srgbClr val="434343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Resumen!$C$2:$F$2</c:f>
            </c:strRef>
          </c:cat>
          <c:val>
            <c:numRef>
              <c:f>Resumen!$C$25:$F$25</c:f>
              <c:numCache/>
            </c:numRef>
          </c:val>
          <c:smooth val="0"/>
        </c:ser>
        <c:axId val="1129024381"/>
        <c:axId val="749670607"/>
      </c:lineChart>
      <c:catAx>
        <c:axId val="11290243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670607"/>
      </c:catAx>
      <c:valAx>
        <c:axId val="749670607"/>
        <c:scaling>
          <c:orientation val="minMax"/>
          <c:max val="2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0243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25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762000</xdr:colOff>
      <xdr:row>27</xdr:row>
      <xdr:rowOff>9525</xdr:rowOff>
    </xdr:from>
    <xdr:ext cx="5248275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98142676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92253257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99689082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453438786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66986742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30652126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562796264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318165008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06273263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912030676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41278360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930171155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279326791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496754919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450974391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492214287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732683077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316714149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815561686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48978375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726974377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870447927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647478184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829214006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741573499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501438956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843515348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488022159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738424312" name="Chart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66675</xdr:rowOff>
    </xdr:from>
    <xdr:ext cx="5143500" cy="3181350"/>
    <xdr:pic>
      <xdr:nvPicPr>
        <xdr:cNvPr id="1073362773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258415043" name="Chart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66675</xdr:rowOff>
    </xdr:from>
    <xdr:ext cx="5143500" cy="3181350"/>
    <xdr:pic>
      <xdr:nvPicPr>
        <xdr:cNvPr id="1908143577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430067697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66675</xdr:rowOff>
    </xdr:from>
    <xdr:ext cx="5143500" cy="3181350"/>
    <xdr:pic>
      <xdr:nvPicPr>
        <xdr:cNvPr id="1176499660" name="Chart3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774534161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66675</xdr:rowOff>
    </xdr:from>
    <xdr:ext cx="5143500" cy="3181350"/>
    <xdr:pic>
      <xdr:nvPicPr>
        <xdr:cNvPr id="2065850789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5143500" cy="3181350"/>
    <xdr:pic>
      <xdr:nvPicPr>
        <xdr:cNvPr id="1588496689" name="Chart3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66675</xdr:rowOff>
    </xdr:from>
    <xdr:ext cx="5143500" cy="3181350"/>
    <xdr:pic>
      <xdr:nvPicPr>
        <xdr:cNvPr id="1225315051" name="Chart4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>
        <v>45663.0</v>
      </c>
      <c r="D2" s="1">
        <v>45694.0</v>
      </c>
      <c r="E2" s="1">
        <v>45722.0</v>
      </c>
      <c r="F2" s="1">
        <v>45760.0</v>
      </c>
      <c r="G2" s="1">
        <v>45782.0</v>
      </c>
      <c r="H2" s="1">
        <v>45817.0</v>
      </c>
      <c r="I2" s="1">
        <v>45843.0</v>
      </c>
      <c r="J2" s="1">
        <v>45875.0</v>
      </c>
      <c r="K2" s="1">
        <v>45905.0</v>
      </c>
      <c r="L2" s="1">
        <v>45942.0</v>
      </c>
      <c r="M2" s="1">
        <v>45968.0</v>
      </c>
      <c r="N2" s="1">
        <v>45998.0</v>
      </c>
      <c r="O2" s="1">
        <v>46034.0</v>
      </c>
      <c r="P2" s="1">
        <v>46064.0</v>
      </c>
      <c r="Q2" s="1">
        <v>46093.0</v>
      </c>
      <c r="R2" s="1">
        <v>46118.0</v>
      </c>
      <c r="S2" s="1">
        <v>46153.0</v>
      </c>
      <c r="T2" s="1">
        <v>46180.0</v>
      </c>
      <c r="U2" s="1">
        <v>46208.0</v>
      </c>
    </row>
    <row r="3">
      <c r="B3" s="2" t="s">
        <v>0</v>
      </c>
      <c r="C3" s="3">
        <f t="shared" ref="C3:Q3" si="1">iferror(VLOOKUP($B3,Indirect(text(C$2,"yyyy-MM-dd")&amp;"!$C$27:$D$34",TRUE),2,0),0)</f>
        <v>0</v>
      </c>
      <c r="D3" s="3">
        <f t="shared" si="1"/>
        <v>0</v>
      </c>
      <c r="E3" s="3">
        <f t="shared" si="1"/>
        <v>0</v>
      </c>
      <c r="F3" s="3">
        <f t="shared" si="1"/>
        <v>0</v>
      </c>
      <c r="G3" s="3">
        <f t="shared" si="1"/>
        <v>0</v>
      </c>
      <c r="H3" s="3">
        <f t="shared" si="1"/>
        <v>0</v>
      </c>
      <c r="I3" s="3">
        <f t="shared" si="1"/>
        <v>0</v>
      </c>
      <c r="J3" s="3">
        <f t="shared" si="1"/>
        <v>0</v>
      </c>
      <c r="K3" s="3">
        <f t="shared" si="1"/>
        <v>0</v>
      </c>
      <c r="L3" s="3">
        <f t="shared" si="1"/>
        <v>0</v>
      </c>
      <c r="M3" s="3">
        <f t="shared" si="1"/>
        <v>0</v>
      </c>
      <c r="N3" s="3">
        <f t="shared" si="1"/>
        <v>0</v>
      </c>
      <c r="O3" s="3">
        <f t="shared" si="1"/>
        <v>0</v>
      </c>
      <c r="P3" s="3">
        <f t="shared" si="1"/>
        <v>0</v>
      </c>
      <c r="Q3" s="3">
        <f t="shared" si="1"/>
        <v>0</v>
      </c>
      <c r="R3" s="3">
        <f t="shared" ref="R3:U3" si="2">iferror(VLOOKUP($B3,Indirect(text(R$2,"yyyy-MM-dd")&amp;"!$C$27:$D$40",TRUE),2,0),0)</f>
        <v>0</v>
      </c>
      <c r="S3" s="3">
        <f t="shared" si="2"/>
        <v>0</v>
      </c>
      <c r="T3" s="3">
        <f t="shared" si="2"/>
        <v>0</v>
      </c>
      <c r="U3" s="3">
        <f t="shared" si="2"/>
        <v>0</v>
      </c>
    </row>
    <row r="4">
      <c r="B4" s="2" t="s">
        <v>1</v>
      </c>
      <c r="C4" s="3">
        <f t="shared" ref="C4:Q4" si="3">iferror(VLOOKUP($B4,Indirect(text(C$2,"yyyy-MM-dd")&amp;"!$C$27:$D$34",TRUE),2,0),0)</f>
        <v>20825.65</v>
      </c>
      <c r="D4" s="3">
        <f t="shared" si="3"/>
        <v>20945.12</v>
      </c>
      <c r="E4" s="3">
        <f t="shared" si="3"/>
        <v>21064.55</v>
      </c>
      <c r="F4" s="3">
        <f t="shared" si="3"/>
        <v>21184.26</v>
      </c>
      <c r="G4" s="3">
        <f t="shared" si="3"/>
        <v>21304.25</v>
      </c>
      <c r="H4" s="3">
        <f t="shared" si="3"/>
        <v>21424.52</v>
      </c>
      <c r="I4" s="3">
        <f t="shared" si="3"/>
        <v>21545.07</v>
      </c>
      <c r="J4" s="3">
        <f t="shared" si="3"/>
        <v>21665.9</v>
      </c>
      <c r="K4" s="3">
        <f t="shared" si="3"/>
        <v>21787.015</v>
      </c>
      <c r="L4" s="3">
        <f t="shared" si="3"/>
        <v>21908.41</v>
      </c>
      <c r="M4" s="3">
        <f t="shared" si="3"/>
        <v>22030.085</v>
      </c>
      <c r="N4" s="3">
        <f t="shared" si="3"/>
        <v>22152.045</v>
      </c>
      <c r="O4" s="3">
        <f t="shared" si="3"/>
        <v>22274.29</v>
      </c>
      <c r="P4" s="3">
        <f t="shared" si="3"/>
        <v>22396.82</v>
      </c>
      <c r="Q4" s="3">
        <f t="shared" si="3"/>
        <v>22519.635</v>
      </c>
      <c r="R4" s="3">
        <f t="shared" ref="R4:U4" si="4">iferror(VLOOKUP($B4,Indirect(text(R$2,"yyyy-MM-dd")&amp;"!$C$27:$D$40",TRUE),2,0),0)</f>
        <v>22642.735</v>
      </c>
      <c r="S4" s="3">
        <f t="shared" si="4"/>
        <v>22766.12</v>
      </c>
      <c r="T4" s="3">
        <f t="shared" si="4"/>
        <v>22883.545</v>
      </c>
      <c r="U4" s="3">
        <f t="shared" si="4"/>
        <v>23001.3</v>
      </c>
    </row>
    <row r="5">
      <c r="B5" s="2" t="s">
        <v>2</v>
      </c>
      <c r="C5" s="3">
        <f t="shared" ref="C5:Q5" si="5">iferror(VLOOKUP($B5,Indirect(text(C$2,"yyyy-MM-dd")&amp;"!$C$27:$D$34",TRUE),2,0),0)</f>
        <v>15919.5</v>
      </c>
      <c r="D5" s="3">
        <f t="shared" si="5"/>
        <v>16523.85</v>
      </c>
      <c r="E5" s="3">
        <f t="shared" si="5"/>
        <v>16160.845</v>
      </c>
      <c r="F5" s="3">
        <f t="shared" si="5"/>
        <v>16790.39</v>
      </c>
      <c r="G5" s="3">
        <f t="shared" si="5"/>
        <v>17219.355</v>
      </c>
      <c r="H5" s="3">
        <f t="shared" si="5"/>
        <v>17738.495</v>
      </c>
      <c r="I5" s="3">
        <f t="shared" si="5"/>
        <v>18529.97</v>
      </c>
      <c r="J5" s="3">
        <f t="shared" si="5"/>
        <v>18926.37</v>
      </c>
      <c r="K5" s="3">
        <f t="shared" si="5"/>
        <v>18845.2</v>
      </c>
      <c r="L5" s="3">
        <f t="shared" si="5"/>
        <v>19136.185</v>
      </c>
      <c r="M5" s="3">
        <f t="shared" si="5"/>
        <v>19756.985</v>
      </c>
      <c r="N5" s="3">
        <f t="shared" si="5"/>
        <v>20312.42</v>
      </c>
      <c r="O5" s="3">
        <f t="shared" si="5"/>
        <v>20757.92</v>
      </c>
      <c r="P5" s="3">
        <f t="shared" si="5"/>
        <v>22318.76</v>
      </c>
      <c r="Q5" s="3">
        <f t="shared" si="5"/>
        <v>23239.07</v>
      </c>
      <c r="R5" s="3">
        <f t="shared" ref="R5:U5" si="6">iferror(VLOOKUP($B5,Indirect(text(R$2,"yyyy-MM-dd")&amp;"!$C$27:$D$40",TRUE),2,0),0)</f>
        <v>26936.07</v>
      </c>
      <c r="S5" s="3">
        <f t="shared" si="6"/>
        <v>27504.725</v>
      </c>
      <c r="T5" s="3">
        <f t="shared" si="6"/>
        <v>28384.22</v>
      </c>
      <c r="U5" s="3">
        <f t="shared" si="6"/>
        <v>27559.88</v>
      </c>
    </row>
    <row r="6">
      <c r="B6" s="4" t="s">
        <v>3</v>
      </c>
      <c r="C6" s="3">
        <f t="shared" ref="C6:Q6" si="7">iferror(VLOOKUP($B6,Indirect(text(C$2,"yyyy-MM-dd")&amp;"!$C$27:$D$34",TRUE),2,0),0)</f>
        <v>0</v>
      </c>
      <c r="D6" s="3">
        <f t="shared" si="7"/>
        <v>0</v>
      </c>
      <c r="E6" s="3">
        <f t="shared" si="7"/>
        <v>0</v>
      </c>
      <c r="F6" s="3">
        <f t="shared" si="7"/>
        <v>0</v>
      </c>
      <c r="G6" s="3">
        <f t="shared" si="7"/>
        <v>0</v>
      </c>
      <c r="H6" s="3">
        <f t="shared" si="7"/>
        <v>0</v>
      </c>
      <c r="I6" s="3">
        <f t="shared" si="7"/>
        <v>0</v>
      </c>
      <c r="J6" s="3">
        <f t="shared" si="7"/>
        <v>0</v>
      </c>
      <c r="K6" s="3">
        <f t="shared" si="7"/>
        <v>0</v>
      </c>
      <c r="L6" s="3">
        <f t="shared" si="7"/>
        <v>0</v>
      </c>
      <c r="M6" s="3">
        <f t="shared" si="7"/>
        <v>0</v>
      </c>
      <c r="N6" s="3">
        <f t="shared" si="7"/>
        <v>0</v>
      </c>
      <c r="O6" s="3">
        <f t="shared" si="7"/>
        <v>0</v>
      </c>
      <c r="P6" s="3">
        <f t="shared" si="7"/>
        <v>0</v>
      </c>
      <c r="Q6" s="3">
        <f t="shared" si="7"/>
        <v>0</v>
      </c>
      <c r="R6" s="3">
        <f t="shared" ref="R6:U6" si="8">iferror(VLOOKUP($B6,Indirect(text(R$2,"yyyy-MM-dd")&amp;"!$C$27:$D$40",TRUE),2,0),0)</f>
        <v>0</v>
      </c>
      <c r="S6" s="3">
        <f t="shared" si="8"/>
        <v>3221.28</v>
      </c>
      <c r="T6" s="3">
        <f t="shared" si="8"/>
        <v>3021.25</v>
      </c>
      <c r="U6" s="3">
        <f t="shared" si="8"/>
        <v>3009.51</v>
      </c>
    </row>
    <row r="7">
      <c r="B7" s="4" t="s">
        <v>4</v>
      </c>
      <c r="C7" s="3">
        <f t="shared" ref="C7:Q7" si="9">iferror(VLOOKUP($B7,Indirect(text(C$2,"yyyy-MM-dd")&amp;"!$C$27:$D$34",TRUE),2,0),0)</f>
        <v>0</v>
      </c>
      <c r="D7" s="3">
        <f t="shared" si="9"/>
        <v>0</v>
      </c>
      <c r="E7" s="3">
        <f t="shared" si="9"/>
        <v>0</v>
      </c>
      <c r="F7" s="3">
        <f t="shared" si="9"/>
        <v>0</v>
      </c>
      <c r="G7" s="3">
        <f t="shared" si="9"/>
        <v>0</v>
      </c>
      <c r="H7" s="3">
        <f t="shared" si="9"/>
        <v>0</v>
      </c>
      <c r="I7" s="3">
        <f t="shared" si="9"/>
        <v>0</v>
      </c>
      <c r="J7" s="3">
        <f t="shared" si="9"/>
        <v>0</v>
      </c>
      <c r="K7" s="3">
        <f t="shared" si="9"/>
        <v>0</v>
      </c>
      <c r="L7" s="3">
        <f t="shared" si="9"/>
        <v>0</v>
      </c>
      <c r="M7" s="3">
        <f t="shared" si="9"/>
        <v>0</v>
      </c>
      <c r="N7" s="3">
        <f t="shared" si="9"/>
        <v>0</v>
      </c>
      <c r="O7" s="3">
        <f t="shared" si="9"/>
        <v>0</v>
      </c>
      <c r="P7" s="3">
        <f t="shared" si="9"/>
        <v>0</v>
      </c>
      <c r="Q7" s="3">
        <f t="shared" si="9"/>
        <v>0</v>
      </c>
      <c r="R7" s="3">
        <f t="shared" ref="R7:U7" si="10">iferror(VLOOKUP($B7,Indirect(text(R$2,"yyyy-MM-dd")&amp;"!$C$27:$D$40",TRUE),2,0),0)</f>
        <v>0</v>
      </c>
      <c r="S7" s="3">
        <f t="shared" si="10"/>
        <v>0</v>
      </c>
      <c r="T7" s="3">
        <f t="shared" si="10"/>
        <v>0</v>
      </c>
      <c r="U7" s="3">
        <f t="shared" si="10"/>
        <v>0</v>
      </c>
    </row>
    <row r="8">
      <c r="B8" s="4" t="s">
        <v>5</v>
      </c>
      <c r="C8" s="3">
        <f t="shared" ref="C8:Q8" si="11">iferror(VLOOKUP($B8,Indirect(text(C$2,"yyyy-MM-dd")&amp;"!$C$27:$D$34",TRUE),2,0),0)</f>
        <v>0</v>
      </c>
      <c r="D8" s="3">
        <f t="shared" si="11"/>
        <v>0</v>
      </c>
      <c r="E8" s="3">
        <f t="shared" si="11"/>
        <v>0</v>
      </c>
      <c r="F8" s="3">
        <f t="shared" si="11"/>
        <v>0</v>
      </c>
      <c r="G8" s="3">
        <f t="shared" si="11"/>
        <v>0</v>
      </c>
      <c r="H8" s="3">
        <f t="shared" si="11"/>
        <v>0</v>
      </c>
      <c r="I8" s="3">
        <f t="shared" si="11"/>
        <v>0</v>
      </c>
      <c r="J8" s="3">
        <f t="shared" si="11"/>
        <v>0</v>
      </c>
      <c r="K8" s="3">
        <f t="shared" si="11"/>
        <v>0</v>
      </c>
      <c r="L8" s="3">
        <f t="shared" si="11"/>
        <v>0</v>
      </c>
      <c r="M8" s="3">
        <f t="shared" si="11"/>
        <v>0</v>
      </c>
      <c r="N8" s="3">
        <f t="shared" si="11"/>
        <v>0</v>
      </c>
      <c r="O8" s="3">
        <f t="shared" si="11"/>
        <v>0</v>
      </c>
      <c r="P8" s="3">
        <f t="shared" si="11"/>
        <v>0</v>
      </c>
      <c r="Q8" s="3">
        <f t="shared" si="11"/>
        <v>0</v>
      </c>
      <c r="R8" s="3">
        <f t="shared" ref="R8:U8" si="12">iferror(VLOOKUP($B8,Indirect(text(R$2,"yyyy-MM-dd")&amp;"!$C$27:$D$40",TRUE),2,0),0)</f>
        <v>0</v>
      </c>
      <c r="S8" s="3">
        <f t="shared" si="12"/>
        <v>0</v>
      </c>
      <c r="T8" s="3">
        <f t="shared" si="12"/>
        <v>0</v>
      </c>
      <c r="U8" s="3">
        <f t="shared" si="12"/>
        <v>0</v>
      </c>
    </row>
    <row r="9">
      <c r="B9" s="4" t="s">
        <v>6</v>
      </c>
      <c r="C9" s="3">
        <f t="shared" ref="C9:Q9" si="13">iferror(VLOOKUP($B9,Indirect(text(C$2,"yyyy-MM-dd")&amp;"!$C$27:$D$34",TRUE),2,0),0)</f>
        <v>0</v>
      </c>
      <c r="D9" s="3">
        <f t="shared" si="13"/>
        <v>0</v>
      </c>
      <c r="E9" s="3">
        <f t="shared" si="13"/>
        <v>0</v>
      </c>
      <c r="F9" s="3">
        <f t="shared" si="13"/>
        <v>0</v>
      </c>
      <c r="G9" s="3">
        <f t="shared" si="13"/>
        <v>0</v>
      </c>
      <c r="H9" s="3">
        <f t="shared" si="13"/>
        <v>0</v>
      </c>
      <c r="I9" s="3">
        <f t="shared" si="13"/>
        <v>0</v>
      </c>
      <c r="J9" s="3">
        <f t="shared" si="13"/>
        <v>0</v>
      </c>
      <c r="K9" s="3">
        <f t="shared" si="13"/>
        <v>0</v>
      </c>
      <c r="L9" s="3">
        <f t="shared" si="13"/>
        <v>0</v>
      </c>
      <c r="M9" s="3">
        <f t="shared" si="13"/>
        <v>0</v>
      </c>
      <c r="N9" s="3">
        <f t="shared" si="13"/>
        <v>0</v>
      </c>
      <c r="O9" s="3">
        <f t="shared" si="13"/>
        <v>0</v>
      </c>
      <c r="P9" s="3">
        <f t="shared" si="13"/>
        <v>0</v>
      </c>
      <c r="Q9" s="3">
        <f t="shared" si="13"/>
        <v>0</v>
      </c>
      <c r="R9" s="3">
        <f t="shared" ref="R9:U9" si="14">iferror(VLOOKUP($B9,Indirect(text(R$2,"yyyy-MM-dd")&amp;"!$C$27:$D$40",TRUE),2,0),0)</f>
        <v>0</v>
      </c>
      <c r="S9" s="3">
        <f t="shared" si="14"/>
        <v>0</v>
      </c>
      <c r="T9" s="3">
        <f t="shared" si="14"/>
        <v>0</v>
      </c>
      <c r="U9" s="3">
        <f t="shared" si="14"/>
        <v>0</v>
      </c>
    </row>
    <row r="10">
      <c r="B10" s="4" t="s">
        <v>7</v>
      </c>
      <c r="C10" s="3">
        <f t="shared" ref="C10:Q10" si="15">iferror(VLOOKUP($B10,Indirect(text(C$2,"yyyy-MM-dd")&amp;"!$C$27:$D$34",TRUE),2,0),0)</f>
        <v>8828.185</v>
      </c>
      <c r="D10" s="3">
        <f t="shared" si="15"/>
        <v>9771.11</v>
      </c>
      <c r="E10" s="3">
        <f t="shared" si="15"/>
        <v>12017.24</v>
      </c>
      <c r="F10" s="3">
        <f t="shared" si="15"/>
        <v>12633.995</v>
      </c>
      <c r="G10" s="3">
        <f t="shared" si="15"/>
        <v>14019.125</v>
      </c>
      <c r="H10" s="3">
        <f t="shared" si="15"/>
        <v>15689.955</v>
      </c>
      <c r="I10" s="3">
        <f t="shared" si="15"/>
        <v>18831.03</v>
      </c>
      <c r="J10" s="3">
        <f t="shared" si="15"/>
        <v>19679.06</v>
      </c>
      <c r="K10" s="3">
        <f t="shared" si="15"/>
        <v>21154.66</v>
      </c>
      <c r="L10" s="3">
        <f t="shared" si="15"/>
        <v>20547.02</v>
      </c>
      <c r="M10" s="3">
        <f t="shared" si="15"/>
        <v>19975.885</v>
      </c>
      <c r="N10" s="3">
        <f t="shared" si="15"/>
        <v>21651.87</v>
      </c>
      <c r="O10" s="3">
        <f t="shared" si="15"/>
        <v>22343.935</v>
      </c>
      <c r="P10" s="3">
        <f t="shared" si="15"/>
        <v>23571.705</v>
      </c>
      <c r="Q10" s="3">
        <f t="shared" si="15"/>
        <v>24129.96</v>
      </c>
      <c r="R10" s="3">
        <f t="shared" ref="R10:U10" si="16">iferror(VLOOKUP($B10,Indirect(text(R$2,"yyyy-MM-dd")&amp;"!$C$27:$D$40",TRUE),2,0),0)</f>
        <v>18273.84</v>
      </c>
      <c r="S10" s="3">
        <f t="shared" si="16"/>
        <v>16241.81</v>
      </c>
      <c r="T10" s="3">
        <f t="shared" si="16"/>
        <v>16408.055</v>
      </c>
      <c r="U10" s="3">
        <f t="shared" si="16"/>
        <v>21501.915</v>
      </c>
    </row>
    <row r="11">
      <c r="B11" s="2" t="s">
        <v>8</v>
      </c>
      <c r="C11" s="3">
        <f t="shared" ref="C11:U11" si="17">SUM(C3:C10)</f>
        <v>45573.335</v>
      </c>
      <c r="D11" s="3">
        <f t="shared" si="17"/>
        <v>47240.08</v>
      </c>
      <c r="E11" s="3">
        <f t="shared" si="17"/>
        <v>49242.635</v>
      </c>
      <c r="F11" s="3">
        <f t="shared" si="17"/>
        <v>50608.645</v>
      </c>
      <c r="G11" s="3">
        <f t="shared" si="17"/>
        <v>52542.73</v>
      </c>
      <c r="H11" s="3">
        <f t="shared" si="17"/>
        <v>54852.97</v>
      </c>
      <c r="I11" s="3">
        <f t="shared" si="17"/>
        <v>58906.07</v>
      </c>
      <c r="J11" s="3">
        <f t="shared" si="17"/>
        <v>60271.33</v>
      </c>
      <c r="K11" s="3">
        <f t="shared" si="17"/>
        <v>61786.875</v>
      </c>
      <c r="L11" s="3">
        <f t="shared" si="17"/>
        <v>61591.615</v>
      </c>
      <c r="M11" s="3">
        <f t="shared" si="17"/>
        <v>61762.955</v>
      </c>
      <c r="N11" s="3">
        <f t="shared" si="17"/>
        <v>64116.335</v>
      </c>
      <c r="O11" s="3">
        <f t="shared" si="17"/>
        <v>65376.145</v>
      </c>
      <c r="P11" s="3">
        <f t="shared" si="17"/>
        <v>68287.285</v>
      </c>
      <c r="Q11" s="3">
        <f t="shared" si="17"/>
        <v>69888.665</v>
      </c>
      <c r="R11" s="3">
        <f t="shared" si="17"/>
        <v>67852.645</v>
      </c>
      <c r="S11" s="3">
        <f t="shared" si="17"/>
        <v>69733.935</v>
      </c>
      <c r="T11" s="3">
        <f t="shared" si="17"/>
        <v>70697.07</v>
      </c>
      <c r="U11" s="3">
        <f t="shared" si="17"/>
        <v>75072.605</v>
      </c>
    </row>
    <row r="16">
      <c r="C16" s="1">
        <v>45297.0</v>
      </c>
    </row>
    <row r="17">
      <c r="B17" s="2" t="s">
        <v>0</v>
      </c>
      <c r="C17" s="5">
        <f t="shared" ref="C17:E17" si="18">C3/C$11</f>
        <v>0</v>
      </c>
      <c r="D17" s="5">
        <f t="shared" si="18"/>
        <v>0</v>
      </c>
      <c r="E17" s="5">
        <f t="shared" si="18"/>
        <v>0</v>
      </c>
    </row>
    <row r="18">
      <c r="B18" s="2" t="s">
        <v>1</v>
      </c>
      <c r="C18" s="5">
        <f t="shared" ref="C18:E18" si="19">C4/C$11</f>
        <v>0.4569700681</v>
      </c>
      <c r="D18" s="5">
        <f t="shared" si="19"/>
        <v>0.4433760485</v>
      </c>
      <c r="E18" s="5">
        <f t="shared" si="19"/>
        <v>0.4277705691</v>
      </c>
      <c r="H18" s="3"/>
    </row>
    <row r="19">
      <c r="B19" s="2" t="s">
        <v>2</v>
      </c>
      <c r="C19" s="5">
        <f t="shared" ref="C19:E19" si="20">C5/C$11</f>
        <v>0.3493161078</v>
      </c>
      <c r="D19" s="5">
        <f t="shared" si="20"/>
        <v>0.3497845474</v>
      </c>
      <c r="E19" s="5">
        <f t="shared" si="20"/>
        <v>0.328188063</v>
      </c>
      <c r="H19" s="3"/>
    </row>
    <row r="20">
      <c r="B20" s="4" t="s">
        <v>3</v>
      </c>
      <c r="C20" s="5">
        <f t="shared" ref="C20:E20" si="21">C6/C$11</f>
        <v>0</v>
      </c>
      <c r="D20" s="5">
        <f t="shared" si="21"/>
        <v>0</v>
      </c>
      <c r="E20" s="5">
        <f t="shared" si="21"/>
        <v>0</v>
      </c>
      <c r="H20" s="3"/>
    </row>
    <row r="21">
      <c r="B21" s="4" t="s">
        <v>4</v>
      </c>
      <c r="C21" s="5">
        <f t="shared" ref="C21:E21" si="22">C7/C$11</f>
        <v>0</v>
      </c>
      <c r="D21" s="5">
        <f t="shared" si="22"/>
        <v>0</v>
      </c>
      <c r="E21" s="5">
        <f t="shared" si="22"/>
        <v>0</v>
      </c>
      <c r="H21" s="3"/>
    </row>
    <row r="22">
      <c r="B22" s="4" t="s">
        <v>5</v>
      </c>
      <c r="C22" s="5">
        <f t="shared" ref="C22:E22" si="23">C8/C$11</f>
        <v>0</v>
      </c>
      <c r="D22" s="5">
        <f t="shared" si="23"/>
        <v>0</v>
      </c>
      <c r="E22" s="5">
        <f t="shared" si="23"/>
        <v>0</v>
      </c>
      <c r="H22" s="3"/>
    </row>
    <row r="23">
      <c r="B23" s="4" t="s">
        <v>6</v>
      </c>
      <c r="C23" s="5">
        <f t="shared" ref="C23:E23" si="24">C9/C$11</f>
        <v>0</v>
      </c>
      <c r="D23" s="5">
        <f t="shared" si="24"/>
        <v>0</v>
      </c>
      <c r="E23" s="5">
        <f t="shared" si="24"/>
        <v>0</v>
      </c>
      <c r="H23" s="3"/>
    </row>
    <row r="24">
      <c r="B24" s="4" t="s">
        <v>7</v>
      </c>
      <c r="C24" s="5">
        <f t="shared" ref="C24:E24" si="25">C10/C$11</f>
        <v>0.1937138241</v>
      </c>
      <c r="D24" s="5">
        <f t="shared" si="25"/>
        <v>0.2068394042</v>
      </c>
      <c r="E24" s="5">
        <f t="shared" si="25"/>
        <v>0.2440413678</v>
      </c>
      <c r="H24" s="3"/>
    </row>
    <row r="25">
      <c r="B25" s="2" t="s">
        <v>8</v>
      </c>
      <c r="C25" s="5">
        <f t="shared" ref="C25:E25" si="26">C11/$C$11</f>
        <v>1</v>
      </c>
      <c r="D25" s="5">
        <f t="shared" si="26"/>
        <v>1.036572812</v>
      </c>
      <c r="E25" s="5">
        <f t="shared" si="26"/>
        <v>1.080514187</v>
      </c>
      <c r="H25" s="3"/>
    </row>
    <row r="26">
      <c r="H26" s="3"/>
    </row>
    <row r="54">
      <c r="B54" s="2" t="s">
        <v>9</v>
      </c>
    </row>
    <row r="55">
      <c r="B55" s="2" t="s">
        <v>10</v>
      </c>
    </row>
    <row r="56">
      <c r="B56" s="2" t="s">
        <v>11</v>
      </c>
    </row>
    <row r="63">
      <c r="C63" s="6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7">
        <f>3698.56/2</f>
        <v>1849.28</v>
      </c>
      <c r="E9" s="2" t="s">
        <v>23</v>
      </c>
    </row>
    <row r="10">
      <c r="A10" s="2" t="s">
        <v>7</v>
      </c>
      <c r="B10" s="2" t="s">
        <v>22</v>
      </c>
      <c r="D10" s="7">
        <f>3722.67/2</f>
        <v>1861.335</v>
      </c>
      <c r="E10" s="2" t="s">
        <v>20</v>
      </c>
    </row>
    <row r="11">
      <c r="A11" s="2" t="s">
        <v>7</v>
      </c>
      <c r="B11" s="2" t="s">
        <v>24</v>
      </c>
      <c r="D11" s="7">
        <v>3678.2</v>
      </c>
      <c r="E11" s="2" t="s">
        <v>20</v>
      </c>
    </row>
    <row r="12">
      <c r="A12" s="2" t="s">
        <v>7</v>
      </c>
      <c r="B12" s="2" t="s">
        <v>7</v>
      </c>
      <c r="D12" s="7">
        <v>1439.37</v>
      </c>
      <c r="E12" s="2" t="s">
        <v>25</v>
      </c>
    </row>
    <row r="13">
      <c r="A13" s="2" t="s">
        <v>1</v>
      </c>
      <c r="B13" s="2" t="s">
        <v>26</v>
      </c>
      <c r="D13" s="9">
        <f>(110000-68348.7)*0.5</f>
        <v>20825.65</v>
      </c>
    </row>
    <row r="14">
      <c r="A14" s="2" t="s">
        <v>2</v>
      </c>
      <c r="D14" s="7">
        <f>(75000+14918.69-14868.47-43211.22)/2</f>
        <v>15919.5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8828.185</v>
      </c>
      <c r="E20" s="8">
        <f t="shared" si="2"/>
        <v>0.1937138241</v>
      </c>
    </row>
    <row r="21">
      <c r="C21" s="2" t="s">
        <v>1</v>
      </c>
      <c r="D21" s="10">
        <f t="shared" si="1"/>
        <v>20825.65</v>
      </c>
      <c r="E21" s="8">
        <f t="shared" si="2"/>
        <v>0.4569700681</v>
      </c>
    </row>
    <row r="22">
      <c r="C22" s="2" t="s">
        <v>2</v>
      </c>
      <c r="D22" s="10">
        <f t="shared" si="1"/>
        <v>15919.5</v>
      </c>
      <c r="E22" s="8">
        <f t="shared" si="2"/>
        <v>0.3493161078</v>
      </c>
    </row>
    <row r="23">
      <c r="D23" s="11">
        <f>SUM($D$16:D22)</f>
        <v>45573.335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8828.185</v>
      </c>
      <c r="E31" s="8">
        <f t="shared" si="4"/>
        <v>0.1937138241</v>
      </c>
    </row>
    <row r="32">
      <c r="C32" s="2" t="s">
        <v>1</v>
      </c>
      <c r="D32" s="10">
        <f t="shared" si="3"/>
        <v>20825.65</v>
      </c>
      <c r="E32" s="8">
        <f t="shared" si="4"/>
        <v>0.4569700681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15919.5</v>
      </c>
      <c r="E34" s="8">
        <f t="shared" si="4"/>
        <v>0.3493161078</v>
      </c>
    </row>
    <row r="35">
      <c r="D35" s="11">
        <f>SUM(D27:D34)</f>
        <v>45573.335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13">
        <f>4849.12/2</f>
        <v>2424.56</v>
      </c>
      <c r="E9" s="2" t="s">
        <v>23</v>
      </c>
    </row>
    <row r="10">
      <c r="A10" s="2" t="s">
        <v>7</v>
      </c>
      <c r="B10" s="2" t="s">
        <v>22</v>
      </c>
      <c r="D10" s="7">
        <f>2901.64/2</f>
        <v>1450.82</v>
      </c>
      <c r="E10" s="2" t="s">
        <v>20</v>
      </c>
    </row>
    <row r="11">
      <c r="A11" s="2" t="s">
        <v>7</v>
      </c>
      <c r="B11" s="2" t="s">
        <v>24</v>
      </c>
      <c r="D11" s="13">
        <v>3741.09</v>
      </c>
      <c r="E11" s="2" t="s">
        <v>20</v>
      </c>
    </row>
    <row r="12">
      <c r="A12" s="2" t="s">
        <v>7</v>
      </c>
      <c r="B12" s="2" t="s">
        <v>7</v>
      </c>
      <c r="D12" s="13">
        <v>2154.64</v>
      </c>
      <c r="E12" s="2" t="s">
        <v>25</v>
      </c>
    </row>
    <row r="13">
      <c r="A13" s="2" t="s">
        <v>1</v>
      </c>
      <c r="B13" s="2" t="s">
        <v>26</v>
      </c>
      <c r="D13" s="9">
        <f>(110000-68109.76)*0.5</f>
        <v>20945.12</v>
      </c>
    </row>
    <row r="14">
      <c r="A14" s="2" t="s">
        <v>2</v>
      </c>
      <c r="D14" s="7">
        <f>(75000+15360.48-14366.41-42946.37)/2</f>
        <v>16523.85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9771.11</v>
      </c>
      <c r="E20" s="8">
        <f t="shared" si="2"/>
        <v>0.2068394042</v>
      </c>
    </row>
    <row r="21">
      <c r="C21" s="2" t="s">
        <v>1</v>
      </c>
      <c r="D21" s="10">
        <f t="shared" si="1"/>
        <v>20945.12</v>
      </c>
      <c r="E21" s="8">
        <f t="shared" si="2"/>
        <v>0.4433760485</v>
      </c>
    </row>
    <row r="22">
      <c r="C22" s="2" t="s">
        <v>2</v>
      </c>
      <c r="D22" s="10">
        <f t="shared" si="1"/>
        <v>16523.85</v>
      </c>
      <c r="E22" s="8">
        <f t="shared" si="2"/>
        <v>0.3497845474</v>
      </c>
    </row>
    <row r="23">
      <c r="D23" s="11">
        <f>SUM($D$16:D22)</f>
        <v>47240.08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9771.11</v>
      </c>
      <c r="E31" s="8">
        <f t="shared" si="4"/>
        <v>0.2068394042</v>
      </c>
    </row>
    <row r="32">
      <c r="C32" s="2" t="s">
        <v>1</v>
      </c>
      <c r="D32" s="10">
        <f t="shared" si="3"/>
        <v>20945.12</v>
      </c>
      <c r="E32" s="8">
        <f t="shared" si="4"/>
        <v>0.4433760485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16523.85</v>
      </c>
      <c r="E34" s="8">
        <f t="shared" si="4"/>
        <v>0.3497845474</v>
      </c>
    </row>
    <row r="35">
      <c r="D35" s="11">
        <f>SUM(D27:D34)</f>
        <v>47240.08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12">
        <f>5555.76/2</f>
        <v>2777.88</v>
      </c>
      <c r="E9" s="2" t="s">
        <v>23</v>
      </c>
    </row>
    <row r="10">
      <c r="A10" s="2" t="s">
        <v>7</v>
      </c>
      <c r="B10" s="2" t="s">
        <v>22</v>
      </c>
      <c r="D10" s="7">
        <f>2171.08/2</f>
        <v>1085.54</v>
      </c>
      <c r="E10" s="2" t="s">
        <v>20</v>
      </c>
    </row>
    <row r="11">
      <c r="A11" s="2" t="s">
        <v>7</v>
      </c>
      <c r="B11" s="2" t="s">
        <v>24</v>
      </c>
      <c r="D11" s="13">
        <v>3987.46</v>
      </c>
      <c r="E11" s="2" t="s">
        <v>20</v>
      </c>
    </row>
    <row r="12">
      <c r="A12" s="2" t="s">
        <v>7</v>
      </c>
      <c r="B12" s="2" t="s">
        <v>7</v>
      </c>
      <c r="D12" s="13">
        <v>4166.36</v>
      </c>
      <c r="E12" s="2" t="s">
        <v>25</v>
      </c>
    </row>
    <row r="13">
      <c r="A13" s="2" t="s">
        <v>1</v>
      </c>
      <c r="B13" s="2" t="s">
        <v>26</v>
      </c>
      <c r="D13" s="9">
        <f>(110000-67870.9)*0.5</f>
        <v>21064.55</v>
      </c>
    </row>
    <row r="14">
      <c r="A14" s="2" t="s">
        <v>2</v>
      </c>
      <c r="D14" s="7">
        <f>(75000+51882.94-13881.86-42679.39-38000)/2</f>
        <v>16160.845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12017.24</v>
      </c>
      <c r="E20" s="8">
        <f t="shared" si="2"/>
        <v>0.2440413678</v>
      </c>
    </row>
    <row r="21">
      <c r="C21" s="2" t="s">
        <v>1</v>
      </c>
      <c r="D21" s="10">
        <f t="shared" si="1"/>
        <v>21064.55</v>
      </c>
      <c r="E21" s="8">
        <f t="shared" si="2"/>
        <v>0.4277705691</v>
      </c>
    </row>
    <row r="22">
      <c r="C22" s="2" t="s">
        <v>2</v>
      </c>
      <c r="D22" s="10">
        <f t="shared" si="1"/>
        <v>16160.845</v>
      </c>
      <c r="E22" s="8">
        <f t="shared" si="2"/>
        <v>0.328188063</v>
      </c>
    </row>
    <row r="23">
      <c r="D23" s="11">
        <f>SUM($D$16:D22)</f>
        <v>49242.635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12017.24</v>
      </c>
      <c r="E31" s="8">
        <f t="shared" si="4"/>
        <v>0.2440413678</v>
      </c>
    </row>
    <row r="32">
      <c r="C32" s="2" t="s">
        <v>1</v>
      </c>
      <c r="D32" s="10">
        <f t="shared" si="3"/>
        <v>21064.55</v>
      </c>
      <c r="E32" s="8">
        <f t="shared" si="4"/>
        <v>0.4277705691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16160.845</v>
      </c>
      <c r="E34" s="8">
        <f t="shared" si="4"/>
        <v>0.328188063</v>
      </c>
    </row>
    <row r="35">
      <c r="D35" s="11">
        <f>SUM(D27:D34)</f>
        <v>49242.635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12">
        <f>6045.98/2</f>
        <v>3022.99</v>
      </c>
      <c r="E9" s="2" t="s">
        <v>23</v>
      </c>
    </row>
    <row r="10">
      <c r="A10" s="2" t="s">
        <v>7</v>
      </c>
      <c r="B10" s="2" t="s">
        <v>22</v>
      </c>
      <c r="D10" s="13">
        <f>1752.31/2</f>
        <v>876.155</v>
      </c>
      <c r="E10" s="2" t="s">
        <v>20</v>
      </c>
    </row>
    <row r="11">
      <c r="A11" s="2" t="s">
        <v>7</v>
      </c>
      <c r="B11" s="2" t="s">
        <v>24</v>
      </c>
      <c r="D11" s="13">
        <v>4066.0</v>
      </c>
      <c r="E11" s="2" t="s">
        <v>20</v>
      </c>
    </row>
    <row r="12">
      <c r="A12" s="2" t="s">
        <v>7</v>
      </c>
      <c r="B12" s="2" t="s">
        <v>7</v>
      </c>
      <c r="D12" s="13">
        <v>4668.85</v>
      </c>
      <c r="E12" s="2" t="s">
        <v>25</v>
      </c>
    </row>
    <row r="13">
      <c r="A13" s="2" t="s">
        <v>1</v>
      </c>
      <c r="B13" s="2" t="s">
        <v>26</v>
      </c>
      <c r="D13" s="9">
        <f>(110000-67631.48)*0.5</f>
        <v>21184.26</v>
      </c>
    </row>
    <row r="14">
      <c r="A14" s="2" t="s">
        <v>2</v>
      </c>
      <c r="D14" s="7">
        <f>(75000+51882.94-13394.8-42410.96-37496.4)/2</f>
        <v>16790.39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12633.995</v>
      </c>
      <c r="E20" s="8">
        <f t="shared" si="2"/>
        <v>0.2496410445</v>
      </c>
    </row>
    <row r="21">
      <c r="C21" s="2" t="s">
        <v>1</v>
      </c>
      <c r="D21" s="10">
        <f t="shared" si="1"/>
        <v>21184.26</v>
      </c>
      <c r="E21" s="8">
        <f t="shared" si="2"/>
        <v>0.4185897488</v>
      </c>
    </row>
    <row r="22">
      <c r="C22" s="2" t="s">
        <v>2</v>
      </c>
      <c r="D22" s="10">
        <f t="shared" si="1"/>
        <v>16790.39</v>
      </c>
      <c r="E22" s="8">
        <f t="shared" si="2"/>
        <v>0.3317692066</v>
      </c>
    </row>
    <row r="23">
      <c r="D23" s="11">
        <f>SUM($D$16:D22)</f>
        <v>50608.645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12633.995</v>
      </c>
      <c r="E31" s="8">
        <f t="shared" si="4"/>
        <v>0.2496410445</v>
      </c>
    </row>
    <row r="32">
      <c r="C32" s="2" t="s">
        <v>1</v>
      </c>
      <c r="D32" s="10">
        <f t="shared" si="3"/>
        <v>21184.26</v>
      </c>
      <c r="E32" s="8">
        <f t="shared" si="4"/>
        <v>0.4185897488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16790.39</v>
      </c>
      <c r="E34" s="8">
        <f t="shared" si="4"/>
        <v>0.3317692066</v>
      </c>
    </row>
    <row r="35">
      <c r="D35" s="11">
        <f>SUM(D27:D34)</f>
        <v>50608.645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12">
        <f>6768.16/2</f>
        <v>3384.08</v>
      </c>
      <c r="E9" s="2" t="s">
        <v>23</v>
      </c>
    </row>
    <row r="10">
      <c r="A10" s="2" t="s">
        <v>7</v>
      </c>
      <c r="B10" s="2" t="s">
        <v>22</v>
      </c>
      <c r="D10" s="7">
        <f>1809.79/2</f>
        <v>904.895</v>
      </c>
      <c r="E10" s="2" t="s">
        <v>20</v>
      </c>
    </row>
    <row r="11">
      <c r="A11" s="2" t="s">
        <v>7</v>
      </c>
      <c r="B11" s="2" t="s">
        <v>24</v>
      </c>
      <c r="D11" s="13">
        <v>1471.16</v>
      </c>
      <c r="E11" s="2" t="s">
        <v>20</v>
      </c>
    </row>
    <row r="12">
      <c r="A12" s="2" t="s">
        <v>7</v>
      </c>
      <c r="B12" s="2" t="s">
        <v>7</v>
      </c>
      <c r="D12" s="13">
        <v>8258.99</v>
      </c>
      <c r="E12" s="2" t="s">
        <v>25</v>
      </c>
    </row>
    <row r="13">
      <c r="A13" s="2" t="s">
        <v>1</v>
      </c>
      <c r="B13" s="2" t="s">
        <v>26</v>
      </c>
      <c r="D13" s="9">
        <f>(110000-67391.5)*0.5</f>
        <v>21304.25</v>
      </c>
    </row>
    <row r="14">
      <c r="A14" s="2" t="s">
        <v>2</v>
      </c>
      <c r="D14" s="7">
        <f>(75000+51981.42-12905.23-42141.08-37496.4)/2</f>
        <v>17219.355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14019.125</v>
      </c>
      <c r="E20" s="8">
        <f t="shared" si="2"/>
        <v>0.2668137914</v>
      </c>
    </row>
    <row r="21">
      <c r="C21" s="2" t="s">
        <v>1</v>
      </c>
      <c r="D21" s="10">
        <f t="shared" si="1"/>
        <v>21304.25</v>
      </c>
      <c r="E21" s="8">
        <f t="shared" si="2"/>
        <v>0.405465228</v>
      </c>
    </row>
    <row r="22">
      <c r="C22" s="2" t="s">
        <v>2</v>
      </c>
      <c r="D22" s="10">
        <f t="shared" si="1"/>
        <v>17219.355</v>
      </c>
      <c r="E22" s="8">
        <f t="shared" si="2"/>
        <v>0.3277209806</v>
      </c>
    </row>
    <row r="23">
      <c r="D23" s="11">
        <f>SUM($D$16:D22)</f>
        <v>52542.73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14019.125</v>
      </c>
      <c r="E31" s="8">
        <f t="shared" si="4"/>
        <v>0.2668137914</v>
      </c>
    </row>
    <row r="32">
      <c r="C32" s="2" t="s">
        <v>1</v>
      </c>
      <c r="D32" s="10">
        <f t="shared" si="3"/>
        <v>21304.25</v>
      </c>
      <c r="E32" s="8">
        <f t="shared" si="4"/>
        <v>0.405465228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17219.355</v>
      </c>
      <c r="E34" s="8">
        <f t="shared" si="4"/>
        <v>0.3277209806</v>
      </c>
    </row>
    <row r="35">
      <c r="D35" s="11">
        <f>SUM(D27:D34)</f>
        <v>52542.73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7649.86/2</f>
        <v>3824.93</v>
      </c>
      <c r="E9" s="2" t="s">
        <v>23</v>
      </c>
    </row>
    <row r="10">
      <c r="A10" s="2" t="s">
        <v>7</v>
      </c>
      <c r="B10" s="2" t="s">
        <v>22</v>
      </c>
      <c r="D10" s="2">
        <f>1940.47/2</f>
        <v>970.235</v>
      </c>
      <c r="E10" s="2" t="s">
        <v>20</v>
      </c>
    </row>
    <row r="11">
      <c r="A11" s="2" t="s">
        <v>7</v>
      </c>
      <c r="B11" s="2" t="s">
        <v>24</v>
      </c>
      <c r="D11" s="2">
        <v>2234.8</v>
      </c>
      <c r="E11" s="2" t="s">
        <v>20</v>
      </c>
      <c r="F11" s="12">
        <f>D11-'2025-05-05'!D11</f>
        <v>763.64</v>
      </c>
    </row>
    <row r="12">
      <c r="A12" s="2" t="s">
        <v>7</v>
      </c>
      <c r="B12" s="2" t="s">
        <v>7</v>
      </c>
      <c r="D12" s="2">
        <v>8659.99</v>
      </c>
      <c r="E12" s="2" t="s">
        <v>25</v>
      </c>
      <c r="F12" s="12">
        <f>D12-'2025-05-05'!D12</f>
        <v>401</v>
      </c>
    </row>
    <row r="13">
      <c r="A13" s="2" t="s">
        <v>1</v>
      </c>
      <c r="B13" s="2" t="s">
        <v>26</v>
      </c>
      <c r="D13" s="14">
        <f>(110000-67150.96)*0.5</f>
        <v>21424.52</v>
      </c>
    </row>
    <row r="14">
      <c r="A14" s="2" t="s">
        <v>2</v>
      </c>
      <c r="D14" s="15">
        <f>(75000+52003.03-12413.13-41869.73-37243.18)/2</f>
        <v>17738.495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15689.955</v>
      </c>
      <c r="E20" s="8">
        <f t="shared" si="2"/>
        <v>0.2860365628</v>
      </c>
    </row>
    <row r="21">
      <c r="C21" s="2" t="s">
        <v>1</v>
      </c>
      <c r="D21" s="10">
        <f t="shared" si="1"/>
        <v>21424.52</v>
      </c>
      <c r="E21" s="8">
        <f t="shared" si="2"/>
        <v>0.3905808564</v>
      </c>
    </row>
    <row r="22">
      <c r="C22" s="2" t="s">
        <v>2</v>
      </c>
      <c r="D22" s="10">
        <f t="shared" si="1"/>
        <v>17738.495</v>
      </c>
      <c r="E22" s="8">
        <f t="shared" si="2"/>
        <v>0.3233825807</v>
      </c>
    </row>
    <row r="23">
      <c r="D23" s="11">
        <f>SUM($D$16:D22)</f>
        <v>54852.97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15689.955</v>
      </c>
      <c r="E31" s="8">
        <f t="shared" si="4"/>
        <v>0.2860365628</v>
      </c>
    </row>
    <row r="32">
      <c r="C32" s="2" t="s">
        <v>1</v>
      </c>
      <c r="D32" s="10">
        <f t="shared" si="3"/>
        <v>21424.52</v>
      </c>
      <c r="E32" s="8">
        <f t="shared" si="4"/>
        <v>0.3905808564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17738.495</v>
      </c>
      <c r="E34" s="8">
        <f t="shared" si="4"/>
        <v>0.3233825807</v>
      </c>
    </row>
    <row r="35">
      <c r="D35" s="11">
        <f>SUM(D27:D34)</f>
        <v>54852.97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7628.41/2</f>
        <v>3814.205</v>
      </c>
      <c r="E9" s="2" t="s">
        <v>23</v>
      </c>
    </row>
    <row r="10">
      <c r="A10" s="2" t="s">
        <v>7</v>
      </c>
      <c r="B10" s="2" t="s">
        <v>22</v>
      </c>
      <c r="D10" s="2">
        <f>1964.97/2</f>
        <v>982.485</v>
      </c>
      <c r="E10" s="2" t="s">
        <v>20</v>
      </c>
    </row>
    <row r="11">
      <c r="A11" s="2" t="s">
        <v>7</v>
      </c>
      <c r="B11" s="2" t="s">
        <v>24</v>
      </c>
      <c r="D11" s="2">
        <v>3039.94</v>
      </c>
      <c r="E11" s="2" t="s">
        <v>20</v>
      </c>
      <c r="F11" s="12">
        <f>D11-'2025-05-05'!D11</f>
        <v>1568.78</v>
      </c>
    </row>
    <row r="12">
      <c r="A12" s="2" t="s">
        <v>7</v>
      </c>
      <c r="B12" s="2" t="s">
        <v>7</v>
      </c>
      <c r="D12" s="2">
        <v>10994.4</v>
      </c>
      <c r="E12" s="2" t="s">
        <v>25</v>
      </c>
      <c r="F12" s="12">
        <f>D12-'2025-05-05'!D12</f>
        <v>2735.41</v>
      </c>
    </row>
    <row r="13">
      <c r="A13" s="2" t="s">
        <v>1</v>
      </c>
      <c r="B13" s="2" t="s">
        <v>26</v>
      </c>
      <c r="D13" s="14">
        <f>(110000-66909.86)*0.5</f>
        <v>21545.07</v>
      </c>
    </row>
    <row r="14">
      <c r="A14" s="2" t="s">
        <v>2</v>
      </c>
      <c r="D14" s="15">
        <f>(75000+52564.34-11918.48-41596.91-36989.01)/2</f>
        <v>18529.97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18831.03</v>
      </c>
      <c r="E20" s="8">
        <f t="shared" si="2"/>
        <v>0.3196789397</v>
      </c>
    </row>
    <row r="21">
      <c r="C21" s="2" t="s">
        <v>1</v>
      </c>
      <c r="D21" s="10">
        <f t="shared" si="1"/>
        <v>21545.07</v>
      </c>
      <c r="E21" s="8">
        <f t="shared" si="2"/>
        <v>0.3657529691</v>
      </c>
    </row>
    <row r="22">
      <c r="C22" s="2" t="s">
        <v>2</v>
      </c>
      <c r="D22" s="10">
        <f t="shared" si="1"/>
        <v>18529.97</v>
      </c>
      <c r="E22" s="8">
        <f t="shared" si="2"/>
        <v>0.3145680912</v>
      </c>
    </row>
    <row r="23">
      <c r="D23" s="11">
        <f>SUM($D$16:D22)</f>
        <v>58906.07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18831.03</v>
      </c>
      <c r="E31" s="8">
        <f t="shared" si="4"/>
        <v>0.3196789397</v>
      </c>
    </row>
    <row r="32">
      <c r="C32" s="2" t="s">
        <v>1</v>
      </c>
      <c r="D32" s="10">
        <f t="shared" si="3"/>
        <v>21545.07</v>
      </c>
      <c r="E32" s="8">
        <f t="shared" si="4"/>
        <v>0.3657529691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18529.97</v>
      </c>
      <c r="E34" s="8">
        <f t="shared" si="4"/>
        <v>0.3145680912</v>
      </c>
    </row>
    <row r="35">
      <c r="D35" s="11">
        <f>SUM(D27:D34)</f>
        <v>58906.07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+8328.85/2</f>
        <v>4164.425</v>
      </c>
      <c r="E9" s="2" t="s">
        <v>23</v>
      </c>
    </row>
    <row r="10">
      <c r="A10" s="2" t="s">
        <v>7</v>
      </c>
      <c r="B10" s="2" t="s">
        <v>22</v>
      </c>
      <c r="D10" s="2">
        <f>2014.75/2</f>
        <v>1007.375</v>
      </c>
      <c r="E10" s="2" t="s">
        <v>20</v>
      </c>
    </row>
    <row r="11">
      <c r="A11" s="2" t="s">
        <v>7</v>
      </c>
      <c r="B11" s="2" t="s">
        <v>24</v>
      </c>
      <c r="D11" s="2">
        <v>1295.94</v>
      </c>
      <c r="E11" s="2" t="s">
        <v>20</v>
      </c>
      <c r="F11" s="12">
        <f>D11-'2025-05-05'!D11</f>
        <v>-175.22</v>
      </c>
    </row>
    <row r="12">
      <c r="A12" s="2" t="s">
        <v>7</v>
      </c>
      <c r="B12" s="2" t="s">
        <v>7</v>
      </c>
      <c r="D12" s="2">
        <v>13211.32</v>
      </c>
      <c r="E12" s="2" t="s">
        <v>25</v>
      </c>
      <c r="F12" s="12">
        <f>D12-'2025-05-05'!D12</f>
        <v>4952.33</v>
      </c>
    </row>
    <row r="13">
      <c r="A13" s="2" t="s">
        <v>1</v>
      </c>
      <c r="B13" s="2" t="s">
        <v>26</v>
      </c>
      <c r="D13" s="14">
        <f>(110000-66668.2)*0.5</f>
        <v>21665.9</v>
      </c>
    </row>
    <row r="14">
      <c r="A14" s="2" t="s">
        <v>2</v>
      </c>
      <c r="D14" s="15">
        <f>(75000+52085.65-11421.28-40822.62-36989.01)/2</f>
        <v>18926.37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19679.06</v>
      </c>
      <c r="E20" s="8">
        <f t="shared" si="2"/>
        <v>0.3265078106</v>
      </c>
    </row>
    <row r="21">
      <c r="C21" s="2" t="s">
        <v>1</v>
      </c>
      <c r="D21" s="10">
        <f t="shared" si="1"/>
        <v>21665.9</v>
      </c>
      <c r="E21" s="8">
        <f t="shared" si="2"/>
        <v>0.3594727377</v>
      </c>
    </row>
    <row r="22">
      <c r="C22" s="2" t="s">
        <v>2</v>
      </c>
      <c r="D22" s="10">
        <f t="shared" si="1"/>
        <v>18926.37</v>
      </c>
      <c r="E22" s="8">
        <f t="shared" si="2"/>
        <v>0.3140194517</v>
      </c>
    </row>
    <row r="23">
      <c r="D23" s="11">
        <f>SUM($D$16:D22)</f>
        <v>60271.33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19679.06</v>
      </c>
      <c r="E31" s="8">
        <f t="shared" si="4"/>
        <v>0.3265078106</v>
      </c>
    </row>
    <row r="32">
      <c r="C32" s="2" t="s">
        <v>1</v>
      </c>
      <c r="D32" s="10">
        <f t="shared" si="3"/>
        <v>21665.9</v>
      </c>
      <c r="E32" s="8">
        <f t="shared" si="4"/>
        <v>0.3594727377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18926.37</v>
      </c>
      <c r="E34" s="8">
        <f t="shared" si="4"/>
        <v>0.3140194517</v>
      </c>
    </row>
    <row r="35">
      <c r="D35" s="11">
        <f>SUM(D27:D34)</f>
        <v>60271.33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+8824.3/2</f>
        <v>4412.15</v>
      </c>
      <c r="E9" s="2" t="s">
        <v>23</v>
      </c>
    </row>
    <row r="10">
      <c r="A10" s="2" t="s">
        <v>7</v>
      </c>
      <c r="B10" s="2" t="s">
        <v>22</v>
      </c>
      <c r="D10" s="2">
        <f>1848.6/2</f>
        <v>924.3</v>
      </c>
      <c r="E10" s="2" t="s">
        <v>20</v>
      </c>
    </row>
    <row r="11">
      <c r="A11" s="2" t="s">
        <v>7</v>
      </c>
      <c r="B11" s="2" t="s">
        <v>24</v>
      </c>
      <c r="D11" s="2">
        <v>1910.21</v>
      </c>
      <c r="E11" s="2" t="s">
        <v>20</v>
      </c>
      <c r="F11" s="12">
        <f>D11-'2025-05-05'!D11</f>
        <v>439.05</v>
      </c>
    </row>
    <row r="12">
      <c r="A12" s="2" t="s">
        <v>7</v>
      </c>
      <c r="B12" s="2" t="s">
        <v>7</v>
      </c>
      <c r="D12" s="2">
        <v>13908.0</v>
      </c>
      <c r="E12" s="2" t="s">
        <v>25</v>
      </c>
      <c r="F12" s="12">
        <f>D12-'2025-05-05'!D12</f>
        <v>5649.01</v>
      </c>
    </row>
    <row r="13">
      <c r="A13" s="2" t="s">
        <v>1</v>
      </c>
      <c r="B13" s="2" t="s">
        <v>26</v>
      </c>
      <c r="D13" s="14">
        <f>(110000-66425.97)*0.5</f>
        <v>21787.015</v>
      </c>
    </row>
    <row r="14">
      <c r="A14" s="2" t="s">
        <v>2</v>
      </c>
      <c r="D14" s="15">
        <f>(75000+50634.46-10921.51-40544.74-36477.81)/2</f>
        <v>18845.2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21154.66</v>
      </c>
      <c r="E20" s="8">
        <f t="shared" si="2"/>
        <v>0.3423811287</v>
      </c>
    </row>
    <row r="21">
      <c r="C21" s="2" t="s">
        <v>1</v>
      </c>
      <c r="D21" s="10">
        <f t="shared" si="1"/>
        <v>21787.015</v>
      </c>
      <c r="E21" s="8">
        <f t="shared" si="2"/>
        <v>0.3526155838</v>
      </c>
    </row>
    <row r="22">
      <c r="C22" s="2" t="s">
        <v>2</v>
      </c>
      <c r="D22" s="10">
        <f t="shared" si="1"/>
        <v>18845.2</v>
      </c>
      <c r="E22" s="8">
        <f t="shared" si="2"/>
        <v>0.3050032875</v>
      </c>
    </row>
    <row r="23">
      <c r="D23" s="11">
        <f>SUM($D$16:D22)</f>
        <v>61786.875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21154.66</v>
      </c>
      <c r="E31" s="8">
        <f t="shared" si="4"/>
        <v>0.3423811287</v>
      </c>
    </row>
    <row r="32">
      <c r="C32" s="2" t="s">
        <v>1</v>
      </c>
      <c r="D32" s="10">
        <f t="shared" si="3"/>
        <v>21787.015</v>
      </c>
      <c r="E32" s="8">
        <f t="shared" si="4"/>
        <v>0.3526155838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18845.2</v>
      </c>
      <c r="E34" s="8">
        <f t="shared" si="4"/>
        <v>0.3050032875</v>
      </c>
    </row>
    <row r="35">
      <c r="D35" s="11">
        <f>SUM(D27:D34)</f>
        <v>61786.875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+9154.66/2</f>
        <v>4577.33</v>
      </c>
      <c r="E9" s="2" t="s">
        <v>23</v>
      </c>
    </row>
    <row r="10">
      <c r="A10" s="2" t="s">
        <v>7</v>
      </c>
      <c r="B10" s="2" t="s">
        <v>22</v>
      </c>
      <c r="D10" s="2">
        <f>1433.2/2</f>
        <v>716.6</v>
      </c>
      <c r="E10" s="2" t="s">
        <v>20</v>
      </c>
    </row>
    <row r="11">
      <c r="A11" s="2" t="s">
        <v>7</v>
      </c>
      <c r="B11" s="2" t="s">
        <v>24</v>
      </c>
      <c r="D11" s="2">
        <v>2226.45</v>
      </c>
      <c r="E11" s="2" t="s">
        <v>20</v>
      </c>
      <c r="F11" s="12">
        <f>D11-'2025-05-05'!D11</f>
        <v>755.29</v>
      </c>
    </row>
    <row r="12">
      <c r="A12" s="2" t="s">
        <v>7</v>
      </c>
      <c r="B12" s="2" t="s">
        <v>7</v>
      </c>
      <c r="D12" s="2">
        <v>13026.64</v>
      </c>
      <c r="E12" s="2" t="s">
        <v>25</v>
      </c>
      <c r="F12" s="12">
        <f>D12-'2025-05-05'!D12</f>
        <v>4767.65</v>
      </c>
    </row>
    <row r="13">
      <c r="A13" s="2" t="s">
        <v>1</v>
      </c>
      <c r="B13" s="2" t="s">
        <v>26</v>
      </c>
      <c r="D13" s="14">
        <f>(110000-66183.18)*0.5</f>
        <v>21908.41</v>
      </c>
    </row>
    <row r="14">
      <c r="A14" s="2" t="s">
        <v>2</v>
      </c>
      <c r="D14" s="15">
        <f>(75000+49919.05-10419.16-40264.75-35962.77)/2</f>
        <v>19136.185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20547.02</v>
      </c>
      <c r="E20" s="8">
        <f t="shared" si="2"/>
        <v>0.3336009293</v>
      </c>
    </row>
    <row r="21">
      <c r="C21" s="2" t="s">
        <v>1</v>
      </c>
      <c r="D21" s="10">
        <f t="shared" si="1"/>
        <v>21908.41</v>
      </c>
      <c r="E21" s="8">
        <f t="shared" si="2"/>
        <v>0.355704425</v>
      </c>
    </row>
    <row r="22">
      <c r="C22" s="2" t="s">
        <v>2</v>
      </c>
      <c r="D22" s="10">
        <f t="shared" si="1"/>
        <v>19136.185</v>
      </c>
      <c r="E22" s="8">
        <f t="shared" si="2"/>
        <v>0.3106946457</v>
      </c>
    </row>
    <row r="23">
      <c r="D23" s="11">
        <f>SUM($D$16:D22)</f>
        <v>61591.615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20547.02</v>
      </c>
      <c r="E31" s="8">
        <f t="shared" si="4"/>
        <v>0.3336009293</v>
      </c>
    </row>
    <row r="32">
      <c r="C32" s="2" t="s">
        <v>1</v>
      </c>
      <c r="D32" s="10">
        <f t="shared" si="3"/>
        <v>21908.41</v>
      </c>
      <c r="E32" s="8">
        <f t="shared" si="4"/>
        <v>0.355704425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19136.185</v>
      </c>
      <c r="E34" s="8">
        <f t="shared" si="4"/>
        <v>0.3106946457</v>
      </c>
    </row>
    <row r="35">
      <c r="D35" s="11">
        <f>SUM(D27:D34)</f>
        <v>61591.615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+10180.13/2</f>
        <v>5090.065</v>
      </c>
      <c r="E9" s="2" t="s">
        <v>23</v>
      </c>
    </row>
    <row r="10">
      <c r="A10" s="2" t="s">
        <v>7</v>
      </c>
      <c r="B10" s="2" t="s">
        <v>22</v>
      </c>
      <c r="D10" s="2">
        <f>1051.84/2</f>
        <v>525.92</v>
      </c>
      <c r="E10" s="2" t="s">
        <v>20</v>
      </c>
    </row>
    <row r="11">
      <c r="A11" s="2" t="s">
        <v>7</v>
      </c>
      <c r="B11" s="2" t="s">
        <v>24</v>
      </c>
      <c r="D11" s="2">
        <v>1051.0</v>
      </c>
      <c r="E11" s="2" t="s">
        <v>20</v>
      </c>
      <c r="F11" s="12">
        <f>D11-'2025-05-05'!D11</f>
        <v>-420.16</v>
      </c>
    </row>
    <row r="12">
      <c r="A12" s="2" t="s">
        <v>7</v>
      </c>
      <c r="B12" s="2" t="s">
        <v>7</v>
      </c>
      <c r="D12" s="2">
        <v>13308.9</v>
      </c>
      <c r="E12" s="2" t="s">
        <v>25</v>
      </c>
      <c r="F12" s="12">
        <f>D12-'2025-05-05'!D12</f>
        <v>5049.91</v>
      </c>
    </row>
    <row r="13">
      <c r="A13" s="2" t="s">
        <v>1</v>
      </c>
      <c r="B13" s="2" t="s">
        <v>26</v>
      </c>
      <c r="D13" s="2">
        <f>(110000-65939.83)*0.5</f>
        <v>22030.085</v>
      </c>
    </row>
    <row r="14">
      <c r="A14" s="2" t="s">
        <v>2</v>
      </c>
      <c r="D14" s="15">
        <f>(75000+50374.19-9914.21-39983.24-35962.77)/2</f>
        <v>19756.985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19975.885</v>
      </c>
      <c r="E20" s="8">
        <f t="shared" si="2"/>
        <v>0.3234282589</v>
      </c>
    </row>
    <row r="21">
      <c r="C21" s="2" t="s">
        <v>1</v>
      </c>
      <c r="D21" s="10">
        <f t="shared" si="1"/>
        <v>22030.085</v>
      </c>
      <c r="E21" s="8">
        <f t="shared" si="2"/>
        <v>0.3566876779</v>
      </c>
    </row>
    <row r="22">
      <c r="C22" s="2" t="s">
        <v>2</v>
      </c>
      <c r="D22" s="10">
        <f t="shared" si="1"/>
        <v>19756.985</v>
      </c>
      <c r="E22" s="8">
        <f t="shared" si="2"/>
        <v>0.3198840632</v>
      </c>
    </row>
    <row r="23">
      <c r="D23" s="11">
        <f>SUM($D$16:D22)</f>
        <v>61762.955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19975.885</v>
      </c>
      <c r="E31" s="8">
        <f t="shared" si="4"/>
        <v>0.3234282589</v>
      </c>
    </row>
    <row r="32">
      <c r="C32" s="2" t="s">
        <v>1</v>
      </c>
      <c r="D32" s="10">
        <f t="shared" si="3"/>
        <v>22030.085</v>
      </c>
      <c r="E32" s="8">
        <f t="shared" si="4"/>
        <v>0.3566876779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19756.985</v>
      </c>
      <c r="E34" s="8">
        <f t="shared" si="4"/>
        <v>0.3198840632</v>
      </c>
    </row>
    <row r="35">
      <c r="D35" s="11">
        <f>SUM(D27:D34)</f>
        <v>61762.955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+10866.97/2</f>
        <v>5433.485</v>
      </c>
      <c r="E9" s="2" t="s">
        <v>23</v>
      </c>
    </row>
    <row r="10">
      <c r="A10" s="2" t="s">
        <v>7</v>
      </c>
      <c r="B10" s="2" t="s">
        <v>22</v>
      </c>
      <c r="D10" s="2">
        <f>494.01/2</f>
        <v>247.005</v>
      </c>
      <c r="E10" s="2" t="s">
        <v>20</v>
      </c>
    </row>
    <row r="11">
      <c r="A11" s="2" t="s">
        <v>7</v>
      </c>
      <c r="B11" s="2" t="s">
        <v>24</v>
      </c>
      <c r="D11" s="2">
        <v>1945.12</v>
      </c>
      <c r="E11" s="2" t="s">
        <v>20</v>
      </c>
      <c r="F11" s="12">
        <f>D11-'2025-05-05'!D11</f>
        <v>473.96</v>
      </c>
    </row>
    <row r="12">
      <c r="A12" s="2" t="s">
        <v>7</v>
      </c>
      <c r="B12" s="2" t="s">
        <v>7</v>
      </c>
      <c r="D12" s="2">
        <v>14026.26</v>
      </c>
      <c r="E12" s="2" t="s">
        <v>25</v>
      </c>
      <c r="F12" s="12">
        <f>D12-'2025-05-05'!D12</f>
        <v>5767.27</v>
      </c>
    </row>
    <row r="13">
      <c r="A13" s="2" t="s">
        <v>1</v>
      </c>
      <c r="B13" s="2" t="s">
        <v>26</v>
      </c>
      <c r="D13" s="2">
        <f>(110000-65695.91)*0.5</f>
        <v>22152.045</v>
      </c>
    </row>
    <row r="14">
      <c r="A14" s="2" t="s">
        <v>2</v>
      </c>
      <c r="D14" s="15">
        <f>(75000+50435.5-9406.65-39700.21-35703.8)/2</f>
        <v>20312.42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21651.87</v>
      </c>
      <c r="E20" s="8">
        <f t="shared" si="2"/>
        <v>0.337696626</v>
      </c>
    </row>
    <row r="21">
      <c r="C21" s="2" t="s">
        <v>1</v>
      </c>
      <c r="D21" s="10">
        <f t="shared" si="1"/>
        <v>22152.045</v>
      </c>
      <c r="E21" s="8">
        <f t="shared" si="2"/>
        <v>0.3454976801</v>
      </c>
    </row>
    <row r="22">
      <c r="C22" s="2" t="s">
        <v>2</v>
      </c>
      <c r="D22" s="10">
        <f t="shared" si="1"/>
        <v>20312.42</v>
      </c>
      <c r="E22" s="8">
        <f t="shared" si="2"/>
        <v>0.3168056939</v>
      </c>
    </row>
    <row r="23">
      <c r="D23" s="11">
        <f>SUM($D$16:D22)</f>
        <v>64116.335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21651.87</v>
      </c>
      <c r="E31" s="8">
        <f t="shared" si="4"/>
        <v>0.337696626</v>
      </c>
    </row>
    <row r="32">
      <c r="C32" s="2" t="s">
        <v>1</v>
      </c>
      <c r="D32" s="10">
        <f t="shared" si="3"/>
        <v>22152.045</v>
      </c>
      <c r="E32" s="8">
        <f t="shared" si="4"/>
        <v>0.3454976801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20312.42</v>
      </c>
      <c r="E34" s="8">
        <f t="shared" si="4"/>
        <v>0.3168056939</v>
      </c>
    </row>
    <row r="35">
      <c r="D35" s="11">
        <f>SUM(D27:D34)</f>
        <v>64116.335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+10546.21/2</f>
        <v>5273.105</v>
      </c>
      <c r="E9" s="2" t="s">
        <v>23</v>
      </c>
    </row>
    <row r="10">
      <c r="A10" s="2" t="s">
        <v>7</v>
      </c>
      <c r="B10" s="2" t="s">
        <v>22</v>
      </c>
      <c r="D10" s="2">
        <f>1419.94/2</f>
        <v>709.97</v>
      </c>
      <c r="E10" s="2" t="s">
        <v>20</v>
      </c>
    </row>
    <row r="11">
      <c r="A11" s="2" t="s">
        <v>7</v>
      </c>
      <c r="B11" s="2" t="s">
        <v>24</v>
      </c>
      <c r="D11" s="2">
        <v>1616.96</v>
      </c>
      <c r="E11" s="2" t="s">
        <v>20</v>
      </c>
      <c r="F11" s="12">
        <f>D11-'2025-05-05'!D11</f>
        <v>145.8</v>
      </c>
    </row>
    <row r="12">
      <c r="A12" s="2" t="s">
        <v>7</v>
      </c>
      <c r="B12" s="2" t="s">
        <v>7</v>
      </c>
      <c r="D12" s="2">
        <v>14743.9</v>
      </c>
      <c r="E12" s="2" t="s">
        <v>25</v>
      </c>
      <c r="F12" s="12">
        <f>D12-'2025-05-05'!D12</f>
        <v>6484.91</v>
      </c>
    </row>
    <row r="13">
      <c r="A13" s="2" t="s">
        <v>1</v>
      </c>
      <c r="B13" s="2" t="s">
        <v>26</v>
      </c>
      <c r="D13" s="2">
        <f>(110000-65451.42)*0.5</f>
        <v>22274.29</v>
      </c>
    </row>
    <row r="14">
      <c r="A14" s="2" t="s">
        <v>2</v>
      </c>
      <c r="D14" s="15">
        <f>(75000+50271.81-8896.47-39415.64-35443.86)/2</f>
        <v>20757.92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22343.935</v>
      </c>
      <c r="E20" s="8">
        <f t="shared" si="2"/>
        <v>0.3417750465</v>
      </c>
    </row>
    <row r="21">
      <c r="C21" s="2" t="s">
        <v>1</v>
      </c>
      <c r="D21" s="10">
        <f t="shared" si="1"/>
        <v>22274.29</v>
      </c>
      <c r="E21" s="8">
        <f t="shared" si="2"/>
        <v>0.3407097497</v>
      </c>
    </row>
    <row r="22">
      <c r="C22" s="2" t="s">
        <v>2</v>
      </c>
      <c r="D22" s="10">
        <f t="shared" si="1"/>
        <v>20757.92</v>
      </c>
      <c r="E22" s="8">
        <f t="shared" si="2"/>
        <v>0.3175152037</v>
      </c>
    </row>
    <row r="23">
      <c r="D23" s="11">
        <f>SUM($D$16:D22)</f>
        <v>65376.145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22343.935</v>
      </c>
      <c r="E31" s="8">
        <f t="shared" si="4"/>
        <v>0.3417750465</v>
      </c>
    </row>
    <row r="32">
      <c r="C32" s="2" t="s">
        <v>1</v>
      </c>
      <c r="D32" s="10">
        <f t="shared" si="3"/>
        <v>22274.29</v>
      </c>
      <c r="E32" s="8">
        <f t="shared" si="4"/>
        <v>0.3407097497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20757.92</v>
      </c>
      <c r="E34" s="8">
        <f t="shared" si="4"/>
        <v>0.3175152037</v>
      </c>
    </row>
    <row r="35">
      <c r="D35" s="11">
        <f>SUM(D27:D34)</f>
        <v>65376.145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+10808.69/2</f>
        <v>5404.345</v>
      </c>
      <c r="E9" s="2" t="s">
        <v>23</v>
      </c>
    </row>
    <row r="10">
      <c r="A10" s="2" t="s">
        <v>7</v>
      </c>
      <c r="B10" s="2" t="s">
        <v>22</v>
      </c>
      <c r="D10" s="2">
        <v>1198.87</v>
      </c>
      <c r="E10" s="2" t="s">
        <v>20</v>
      </c>
    </row>
    <row r="11">
      <c r="A11" s="2" t="s">
        <v>7</v>
      </c>
      <c r="B11" s="2" t="s">
        <v>24</v>
      </c>
      <c r="D11" s="2">
        <v>1675.94</v>
      </c>
      <c r="E11" s="2" t="s">
        <v>20</v>
      </c>
      <c r="F11" s="12">
        <f>D11-'2025-05-05'!D11</f>
        <v>204.78</v>
      </c>
    </row>
    <row r="12">
      <c r="A12" s="2" t="s">
        <v>7</v>
      </c>
      <c r="B12" s="2" t="s">
        <v>7</v>
      </c>
      <c r="D12" s="2">
        <v>15292.55</v>
      </c>
      <c r="E12" s="2" t="s">
        <v>25</v>
      </c>
      <c r="F12" s="12">
        <f>D12-'2025-05-05'!D12</f>
        <v>7033.56</v>
      </c>
    </row>
    <row r="13">
      <c r="A13" s="2" t="s">
        <v>1</v>
      </c>
      <c r="B13" s="2" t="s">
        <v>26</v>
      </c>
      <c r="D13" s="2">
        <f>(110000-65206.36)*0.5</f>
        <v>22396.82</v>
      </c>
    </row>
    <row r="14">
      <c r="A14" s="2" t="s">
        <v>2</v>
      </c>
      <c r="D14" s="15">
        <f>(75000+50333.12-6383.66-39129-35182.94)/2</f>
        <v>22318.76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23571.705</v>
      </c>
      <c r="E20" s="8">
        <f t="shared" si="2"/>
        <v>0.3451843927</v>
      </c>
    </row>
    <row r="21">
      <c r="C21" s="2" t="s">
        <v>1</v>
      </c>
      <c r="D21" s="10">
        <f t="shared" si="1"/>
        <v>22396.82</v>
      </c>
      <c r="E21" s="8">
        <f t="shared" si="2"/>
        <v>0.3279793596</v>
      </c>
    </row>
    <row r="22">
      <c r="C22" s="2" t="s">
        <v>2</v>
      </c>
      <c r="D22" s="10">
        <f t="shared" si="1"/>
        <v>22318.76</v>
      </c>
      <c r="E22" s="8">
        <f t="shared" si="2"/>
        <v>0.3268362478</v>
      </c>
    </row>
    <row r="23">
      <c r="D23" s="11">
        <f>SUM($D$16:D22)</f>
        <v>68287.285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23571.705</v>
      </c>
      <c r="E31" s="8">
        <f t="shared" si="4"/>
        <v>0.3451843927</v>
      </c>
    </row>
    <row r="32">
      <c r="C32" s="2" t="s">
        <v>1</v>
      </c>
      <c r="D32" s="10">
        <f t="shared" si="3"/>
        <v>22396.82</v>
      </c>
      <c r="E32" s="8">
        <f t="shared" si="4"/>
        <v>0.3279793596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22318.76</v>
      </c>
      <c r="E34" s="8">
        <f t="shared" si="4"/>
        <v>0.3268362478</v>
      </c>
    </row>
    <row r="35">
      <c r="D35" s="11">
        <f>SUM(D27:D34)</f>
        <v>68287.285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21</v>
      </c>
      <c r="D8" s="7">
        <v>0.0</v>
      </c>
      <c r="E8" s="2" t="s">
        <v>20</v>
      </c>
    </row>
    <row r="9">
      <c r="A9" s="2" t="s">
        <v>7</v>
      </c>
      <c r="B9" s="2" t="s">
        <v>22</v>
      </c>
      <c r="D9" s="2">
        <f>+12023.44/2</f>
        <v>6011.72</v>
      </c>
      <c r="E9" s="2" t="s">
        <v>23</v>
      </c>
    </row>
    <row r="10">
      <c r="A10" s="2" t="s">
        <v>7</v>
      </c>
      <c r="B10" s="2" t="s">
        <v>22</v>
      </c>
      <c r="D10" s="2">
        <f>810.3/2</f>
        <v>405.15</v>
      </c>
      <c r="E10" s="2" t="s">
        <v>20</v>
      </c>
    </row>
    <row r="11">
      <c r="A11" s="2" t="s">
        <v>7</v>
      </c>
      <c r="B11" s="2" t="s">
        <v>24</v>
      </c>
      <c r="D11" s="2">
        <v>1810.18</v>
      </c>
      <c r="E11" s="2" t="s">
        <v>20</v>
      </c>
      <c r="F11" s="12">
        <f>D11-'2025-05-05'!D11</f>
        <v>339.02</v>
      </c>
    </row>
    <row r="12">
      <c r="A12" s="2" t="s">
        <v>7</v>
      </c>
      <c r="B12" s="2" t="s">
        <v>7</v>
      </c>
      <c r="D12" s="2">
        <v>15902.91</v>
      </c>
      <c r="E12" s="2" t="s">
        <v>25</v>
      </c>
      <c r="F12" s="12">
        <f>D12-'2025-05-05'!D12</f>
        <v>7643.92</v>
      </c>
    </row>
    <row r="13">
      <c r="A13" s="2" t="s">
        <v>1</v>
      </c>
      <c r="B13" s="2" t="s">
        <v>26</v>
      </c>
      <c r="D13" s="2">
        <f>(110000-64960.73)*0.5</f>
        <v>22519.635</v>
      </c>
    </row>
    <row r="14">
      <c r="A14" s="2" t="s">
        <v>2</v>
      </c>
      <c r="D14" s="15">
        <f>(75000+50799.04-5858.55-38541.3-34921.05)/2</f>
        <v>23239.07</v>
      </c>
    </row>
    <row r="15">
      <c r="E15" s="8"/>
    </row>
    <row r="16">
      <c r="C16" s="4" t="s">
        <v>3</v>
      </c>
      <c r="D16" s="10">
        <f t="shared" ref="D16:D22" si="1">SUMIF($A$5:$A$14,C16,$D$5:$D$14)</f>
        <v>0</v>
      </c>
      <c r="E16" s="8">
        <f t="shared" ref="E16:E22" si="2">D16/$D$23</f>
        <v>0</v>
      </c>
    </row>
    <row r="17">
      <c r="C17" s="4" t="s">
        <v>4</v>
      </c>
      <c r="D17" s="10">
        <f t="shared" si="1"/>
        <v>0</v>
      </c>
      <c r="E17" s="8">
        <f t="shared" si="2"/>
        <v>0</v>
      </c>
    </row>
    <row r="18">
      <c r="C18" s="4" t="s">
        <v>5</v>
      </c>
      <c r="D18" s="10">
        <f t="shared" si="1"/>
        <v>0</v>
      </c>
      <c r="E18" s="8">
        <f t="shared" si="2"/>
        <v>0</v>
      </c>
    </row>
    <row r="19">
      <c r="C19" s="4" t="s">
        <v>6</v>
      </c>
      <c r="D19" s="10">
        <f t="shared" si="1"/>
        <v>0</v>
      </c>
      <c r="E19" s="8">
        <f t="shared" si="2"/>
        <v>0</v>
      </c>
    </row>
    <row r="20">
      <c r="C20" s="4" t="s">
        <v>7</v>
      </c>
      <c r="D20" s="10">
        <f t="shared" si="1"/>
        <v>24129.96</v>
      </c>
      <c r="E20" s="8">
        <f t="shared" si="2"/>
        <v>0.3452628549</v>
      </c>
    </row>
    <row r="21">
      <c r="C21" s="2" t="s">
        <v>1</v>
      </c>
      <c r="D21" s="10">
        <f t="shared" si="1"/>
        <v>22519.635</v>
      </c>
      <c r="E21" s="8">
        <f t="shared" si="2"/>
        <v>0.3222215648</v>
      </c>
    </row>
    <row r="22">
      <c r="C22" s="2" t="s">
        <v>2</v>
      </c>
      <c r="D22" s="10">
        <f t="shared" si="1"/>
        <v>23239.07</v>
      </c>
      <c r="E22" s="8">
        <f t="shared" si="2"/>
        <v>0.3325155803</v>
      </c>
    </row>
    <row r="23">
      <c r="D23" s="11">
        <f>SUM($D$16:D22)</f>
        <v>69888.665</v>
      </c>
      <c r="E23" s="8"/>
    </row>
    <row r="24">
      <c r="D24" s="11"/>
    </row>
    <row r="27">
      <c r="C27" s="4" t="s">
        <v>3</v>
      </c>
      <c r="D27" s="10">
        <f t="shared" ref="D27:D34" si="3">SUMIF($A$5:$A$14,C27,$D$5:$D$14)</f>
        <v>0</v>
      </c>
      <c r="E27" s="8">
        <f t="shared" ref="E27:E34" si="4">D27/$D$35</f>
        <v>0</v>
      </c>
    </row>
    <row r="28">
      <c r="C28" s="4" t="s">
        <v>4</v>
      </c>
      <c r="D28" s="10">
        <f t="shared" si="3"/>
        <v>0</v>
      </c>
      <c r="E28" s="8">
        <f t="shared" si="4"/>
        <v>0</v>
      </c>
    </row>
    <row r="29">
      <c r="C29" s="4" t="s">
        <v>5</v>
      </c>
      <c r="D29" s="10">
        <f t="shared" si="3"/>
        <v>0</v>
      </c>
      <c r="E29" s="8">
        <f t="shared" si="4"/>
        <v>0</v>
      </c>
    </row>
    <row r="30">
      <c r="C30" s="4" t="s">
        <v>6</v>
      </c>
      <c r="D30" s="10">
        <f t="shared" si="3"/>
        <v>0</v>
      </c>
      <c r="E30" s="8">
        <f t="shared" si="4"/>
        <v>0</v>
      </c>
    </row>
    <row r="31">
      <c r="C31" s="4" t="s">
        <v>7</v>
      </c>
      <c r="D31" s="10">
        <f t="shared" si="3"/>
        <v>24129.96</v>
      </c>
      <c r="E31" s="8">
        <f t="shared" si="4"/>
        <v>0.3452628549</v>
      </c>
    </row>
    <row r="32">
      <c r="C32" s="2" t="s">
        <v>1</v>
      </c>
      <c r="D32" s="10">
        <f t="shared" si="3"/>
        <v>22519.635</v>
      </c>
      <c r="E32" s="8">
        <f t="shared" si="4"/>
        <v>0.3222215648</v>
      </c>
    </row>
    <row r="33">
      <c r="C33" s="2" t="s">
        <v>0</v>
      </c>
      <c r="D33" s="10">
        <f t="shared" si="3"/>
        <v>0</v>
      </c>
      <c r="E33" s="8">
        <f t="shared" si="4"/>
        <v>0</v>
      </c>
    </row>
    <row r="34">
      <c r="C34" s="2" t="s">
        <v>2</v>
      </c>
      <c r="D34" s="10">
        <f t="shared" si="3"/>
        <v>23239.07</v>
      </c>
      <c r="E34" s="8">
        <f t="shared" si="4"/>
        <v>0.3325155803</v>
      </c>
    </row>
    <row r="35">
      <c r="D35" s="11">
        <f>SUM(D27:D34)</f>
        <v>69888.665</v>
      </c>
    </row>
    <row r="38">
      <c r="D38" s="12">
        <v>12</v>
      </c>
    </row>
    <row r="39">
      <c r="D39" s="12">
        <v>12</v>
      </c>
    </row>
  </sheetData>
  <autoFilter ref="$A$4:$E$14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27</v>
      </c>
      <c r="D8" s="7">
        <v>0.0</v>
      </c>
      <c r="E8" s="2" t="s">
        <v>28</v>
      </c>
    </row>
    <row r="9">
      <c r="A9" s="2" t="s">
        <v>3</v>
      </c>
      <c r="B9" s="2" t="s">
        <v>21</v>
      </c>
      <c r="D9" s="7">
        <v>0.0</v>
      </c>
      <c r="E9" s="2" t="s">
        <v>20</v>
      </c>
    </row>
    <row r="10">
      <c r="A10" s="2" t="s">
        <v>7</v>
      </c>
      <c r="B10" s="2" t="s">
        <v>29</v>
      </c>
      <c r="D10" s="2">
        <v>3225.0</v>
      </c>
      <c r="E10" s="2" t="s">
        <v>29</v>
      </c>
    </row>
    <row r="11">
      <c r="A11" s="2" t="s">
        <v>7</v>
      </c>
      <c r="B11" s="2" t="s">
        <v>22</v>
      </c>
      <c r="D11" s="2">
        <f>+11707.72/2</f>
        <v>5853.86</v>
      </c>
      <c r="E11" s="2" t="s">
        <v>23</v>
      </c>
    </row>
    <row r="12">
      <c r="A12" s="2" t="s">
        <v>7</v>
      </c>
      <c r="B12" s="2" t="s">
        <v>22</v>
      </c>
      <c r="D12" s="2">
        <f>800.74/2</f>
        <v>400.37</v>
      </c>
      <c r="E12" s="2" t="s">
        <v>20</v>
      </c>
    </row>
    <row r="13">
      <c r="A13" s="2" t="s">
        <v>7</v>
      </c>
      <c r="B13" s="2" t="s">
        <v>24</v>
      </c>
      <c r="D13" s="2">
        <v>2465.0</v>
      </c>
      <c r="E13" s="2" t="s">
        <v>20</v>
      </c>
      <c r="F13" s="12">
        <f>D13-'2025-05-05'!D11</f>
        <v>993.84</v>
      </c>
    </row>
    <row r="14">
      <c r="A14" s="2" t="s">
        <v>7</v>
      </c>
      <c r="B14" s="2" t="s">
        <v>7</v>
      </c>
      <c r="D14" s="2">
        <v>6329.61</v>
      </c>
      <c r="E14" s="2" t="s">
        <v>25</v>
      </c>
      <c r="F14" s="12">
        <f>D14-'2025-05-05'!D12</f>
        <v>-1929.38</v>
      </c>
    </row>
    <row r="15">
      <c r="A15" s="2" t="s">
        <v>1</v>
      </c>
      <c r="B15" s="2" t="s">
        <v>26</v>
      </c>
      <c r="D15" s="2">
        <f>(110000-64714.53)*0.5</f>
        <v>22642.735</v>
      </c>
    </row>
    <row r="16">
      <c r="A16" s="2" t="s">
        <v>2</v>
      </c>
      <c r="D16" s="15">
        <f>(75000+50860.35-5330.04-32000-34658.17)/2</f>
        <v>26936.07</v>
      </c>
    </row>
    <row r="17">
      <c r="E17" s="8"/>
    </row>
    <row r="18">
      <c r="C18" s="4" t="s">
        <v>3</v>
      </c>
      <c r="D18" s="10">
        <f t="shared" ref="D18:D24" si="1">SUMIF($A$5:$A$16,C18,$D$5:$D$16)</f>
        <v>0</v>
      </c>
      <c r="E18" s="8">
        <f t="shared" ref="E18:E24" si="2">D18/$D$25</f>
        <v>0</v>
      </c>
    </row>
    <row r="19">
      <c r="C19" s="4" t="s">
        <v>4</v>
      </c>
      <c r="D19" s="10">
        <f t="shared" si="1"/>
        <v>0</v>
      </c>
      <c r="E19" s="8">
        <f t="shared" si="2"/>
        <v>0</v>
      </c>
    </row>
    <row r="20">
      <c r="C20" s="4" t="s">
        <v>5</v>
      </c>
      <c r="D20" s="10">
        <f t="shared" si="1"/>
        <v>0</v>
      </c>
      <c r="E20" s="8">
        <f t="shared" si="2"/>
        <v>0</v>
      </c>
    </row>
    <row r="21">
      <c r="C21" s="4" t="s">
        <v>6</v>
      </c>
      <c r="D21" s="10">
        <f t="shared" si="1"/>
        <v>0</v>
      </c>
      <c r="E21" s="8">
        <f t="shared" si="2"/>
        <v>0</v>
      </c>
    </row>
    <row r="22">
      <c r="C22" s="4" t="s">
        <v>7</v>
      </c>
      <c r="D22" s="10">
        <f t="shared" si="1"/>
        <v>18273.84</v>
      </c>
      <c r="E22" s="8">
        <f t="shared" si="2"/>
        <v>0.2693165462</v>
      </c>
    </row>
    <row r="23">
      <c r="C23" s="2" t="s">
        <v>1</v>
      </c>
      <c r="D23" s="10">
        <f t="shared" si="1"/>
        <v>22642.735</v>
      </c>
      <c r="E23" s="8">
        <f t="shared" si="2"/>
        <v>0.3337045299</v>
      </c>
    </row>
    <row r="24">
      <c r="C24" s="2" t="s">
        <v>2</v>
      </c>
      <c r="D24" s="10">
        <f t="shared" si="1"/>
        <v>26936.07</v>
      </c>
      <c r="E24" s="8">
        <f t="shared" si="2"/>
        <v>0.396978924</v>
      </c>
    </row>
    <row r="25">
      <c r="D25" s="11">
        <f>SUM($D$18:D24)</f>
        <v>67852.645</v>
      </c>
      <c r="E25" s="8"/>
    </row>
    <row r="26">
      <c r="D26" s="11"/>
    </row>
    <row r="29">
      <c r="C29" s="4" t="s">
        <v>3</v>
      </c>
      <c r="D29" s="10">
        <f t="shared" ref="D29:D36" si="3">SUMIF($A$5:$A$16,C29,$D$5:$D$16)</f>
        <v>0</v>
      </c>
      <c r="E29" s="8">
        <f t="shared" ref="E29:E36" si="4">D29/$D$37</f>
        <v>0</v>
      </c>
    </row>
    <row r="30">
      <c r="C30" s="4" t="s">
        <v>4</v>
      </c>
      <c r="D30" s="10">
        <f t="shared" si="3"/>
        <v>0</v>
      </c>
      <c r="E30" s="8">
        <f t="shared" si="4"/>
        <v>0</v>
      </c>
    </row>
    <row r="31">
      <c r="C31" s="4" t="s">
        <v>5</v>
      </c>
      <c r="D31" s="10">
        <f t="shared" si="3"/>
        <v>0</v>
      </c>
      <c r="E31" s="8">
        <f t="shared" si="4"/>
        <v>0</v>
      </c>
    </row>
    <row r="32">
      <c r="C32" s="4" t="s">
        <v>6</v>
      </c>
      <c r="D32" s="10">
        <f t="shared" si="3"/>
        <v>0</v>
      </c>
      <c r="E32" s="8">
        <f t="shared" si="4"/>
        <v>0</v>
      </c>
    </row>
    <row r="33">
      <c r="C33" s="4" t="s">
        <v>7</v>
      </c>
      <c r="D33" s="10">
        <f t="shared" si="3"/>
        <v>18273.84</v>
      </c>
      <c r="E33" s="8">
        <f t="shared" si="4"/>
        <v>0.2693165462</v>
      </c>
    </row>
    <row r="34">
      <c r="C34" s="2" t="s">
        <v>1</v>
      </c>
      <c r="D34" s="10">
        <f t="shared" si="3"/>
        <v>22642.735</v>
      </c>
      <c r="E34" s="8">
        <f t="shared" si="4"/>
        <v>0.3337045299</v>
      </c>
    </row>
    <row r="35">
      <c r="C35" s="2" t="s">
        <v>0</v>
      </c>
      <c r="D35" s="10">
        <f t="shared" si="3"/>
        <v>0</v>
      </c>
      <c r="E35" s="8">
        <f t="shared" si="4"/>
        <v>0</v>
      </c>
    </row>
    <row r="36">
      <c r="C36" s="2" t="s">
        <v>2</v>
      </c>
      <c r="D36" s="10">
        <f t="shared" si="3"/>
        <v>26936.07</v>
      </c>
      <c r="E36" s="8">
        <f t="shared" si="4"/>
        <v>0.396978924</v>
      </c>
    </row>
    <row r="37">
      <c r="D37" s="11">
        <f>SUM(D29:D36)</f>
        <v>67852.645</v>
      </c>
    </row>
    <row r="40">
      <c r="D40" s="12">
        <v>12</v>
      </c>
    </row>
    <row r="41">
      <c r="D41" s="12">
        <v>12</v>
      </c>
    </row>
  </sheetData>
  <autoFilter ref="$A$4:$E$16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27</v>
      </c>
      <c r="D8" s="7">
        <v>3221.28</v>
      </c>
      <c r="E8" s="2" t="s">
        <v>28</v>
      </c>
    </row>
    <row r="9">
      <c r="A9" s="2" t="s">
        <v>3</v>
      </c>
      <c r="B9" s="2" t="s">
        <v>21</v>
      </c>
      <c r="D9" s="7">
        <v>0.0</v>
      </c>
      <c r="E9" s="2" t="s">
        <v>20</v>
      </c>
    </row>
    <row r="10">
      <c r="A10" s="2" t="s">
        <v>7</v>
      </c>
      <c r="B10" s="2" t="s">
        <v>29</v>
      </c>
      <c r="D10" s="2">
        <v>127.48</v>
      </c>
      <c r="E10" s="2" t="s">
        <v>29</v>
      </c>
    </row>
    <row r="11">
      <c r="A11" s="2" t="s">
        <v>7</v>
      </c>
      <c r="B11" s="2" t="s">
        <v>22</v>
      </c>
      <c r="D11" s="2">
        <f>+12487.19/2</f>
        <v>6243.595</v>
      </c>
      <c r="E11" s="2" t="s">
        <v>23</v>
      </c>
    </row>
    <row r="12">
      <c r="A12" s="2" t="s">
        <v>7</v>
      </c>
      <c r="B12" s="2" t="s">
        <v>22</v>
      </c>
      <c r="D12" s="2">
        <f>859.49/2</f>
        <v>429.745</v>
      </c>
      <c r="E12" s="2" t="s">
        <v>20</v>
      </c>
    </row>
    <row r="13">
      <c r="A13" s="2" t="s">
        <v>7</v>
      </c>
      <c r="B13" s="2" t="s">
        <v>24</v>
      </c>
      <c r="D13" s="2">
        <v>1600.47</v>
      </c>
      <c r="E13" s="2" t="s">
        <v>20</v>
      </c>
      <c r="F13" s="12">
        <f>D13-'2025-05-05'!D11</f>
        <v>129.31</v>
      </c>
    </row>
    <row r="14">
      <c r="A14" s="2" t="s">
        <v>7</v>
      </c>
      <c r="B14" s="2" t="s">
        <v>7</v>
      </c>
      <c r="D14" s="2">
        <v>7840.52</v>
      </c>
      <c r="E14" s="2" t="s">
        <v>25</v>
      </c>
      <c r="F14" s="12">
        <f>D14-'2025-05-05'!D12</f>
        <v>-418.47</v>
      </c>
    </row>
    <row r="15">
      <c r="A15" s="2" t="s">
        <v>1</v>
      </c>
      <c r="B15" s="2" t="s">
        <v>26</v>
      </c>
      <c r="D15" s="2">
        <f>(110000-64467.76)*0.5</f>
        <v>22766.12</v>
      </c>
    </row>
    <row r="16">
      <c r="A16" s="2" t="s">
        <v>2</v>
      </c>
      <c r="D16" s="15">
        <f>(75000+50921.66-4789.8-31728.1-34394.31)/2</f>
        <v>27504.725</v>
      </c>
    </row>
    <row r="17">
      <c r="E17" s="8"/>
    </row>
    <row r="18">
      <c r="C18" s="4" t="s">
        <v>3</v>
      </c>
      <c r="D18" s="10">
        <f t="shared" ref="D18:D24" si="1">SUMIF($A$5:$A$16,C18,$D$5:$D$16)</f>
        <v>3221.28</v>
      </c>
      <c r="E18" s="8">
        <f t="shared" ref="E18:E24" si="2">D18/$D$25</f>
        <v>0.0461938653</v>
      </c>
    </row>
    <row r="19">
      <c r="C19" s="4" t="s">
        <v>4</v>
      </c>
      <c r="D19" s="10">
        <f t="shared" si="1"/>
        <v>0</v>
      </c>
      <c r="E19" s="8">
        <f t="shared" si="2"/>
        <v>0</v>
      </c>
    </row>
    <row r="20">
      <c r="C20" s="4" t="s">
        <v>5</v>
      </c>
      <c r="D20" s="10">
        <f t="shared" si="1"/>
        <v>0</v>
      </c>
      <c r="E20" s="8">
        <f t="shared" si="2"/>
        <v>0</v>
      </c>
    </row>
    <row r="21">
      <c r="C21" s="4" t="s">
        <v>6</v>
      </c>
      <c r="D21" s="10">
        <f t="shared" si="1"/>
        <v>0</v>
      </c>
      <c r="E21" s="8">
        <f t="shared" si="2"/>
        <v>0</v>
      </c>
    </row>
    <row r="22">
      <c r="C22" s="4" t="s">
        <v>7</v>
      </c>
      <c r="D22" s="10">
        <f t="shared" si="1"/>
        <v>16241.81</v>
      </c>
      <c r="E22" s="8">
        <f t="shared" si="2"/>
        <v>0.2329111357</v>
      </c>
    </row>
    <row r="23">
      <c r="C23" s="2" t="s">
        <v>1</v>
      </c>
      <c r="D23" s="10">
        <f t="shared" si="1"/>
        <v>22766.12</v>
      </c>
      <c r="E23" s="8">
        <f t="shared" si="2"/>
        <v>0.3264711793</v>
      </c>
    </row>
    <row r="24">
      <c r="C24" s="2" t="s">
        <v>2</v>
      </c>
      <c r="D24" s="10">
        <f t="shared" si="1"/>
        <v>27504.725</v>
      </c>
      <c r="E24" s="8">
        <f t="shared" si="2"/>
        <v>0.3944238196</v>
      </c>
    </row>
    <row r="25">
      <c r="D25" s="11">
        <f>SUM($D$18:D24)</f>
        <v>69733.935</v>
      </c>
      <c r="E25" s="8"/>
    </row>
    <row r="26">
      <c r="D26" s="11"/>
    </row>
    <row r="29">
      <c r="C29" s="4" t="s">
        <v>3</v>
      </c>
      <c r="D29" s="10">
        <f t="shared" ref="D29:D36" si="3">SUMIF($A$5:$A$16,C29,$D$5:$D$16)</f>
        <v>3221.28</v>
      </c>
      <c r="E29" s="8">
        <f t="shared" ref="E29:E36" si="4">D29/$D$37</f>
        <v>0.0461938653</v>
      </c>
    </row>
    <row r="30">
      <c r="C30" s="4" t="s">
        <v>4</v>
      </c>
      <c r="D30" s="10">
        <f t="shared" si="3"/>
        <v>0</v>
      </c>
      <c r="E30" s="8">
        <f t="shared" si="4"/>
        <v>0</v>
      </c>
    </row>
    <row r="31">
      <c r="C31" s="4" t="s">
        <v>5</v>
      </c>
      <c r="D31" s="10">
        <f t="shared" si="3"/>
        <v>0</v>
      </c>
      <c r="E31" s="8">
        <f t="shared" si="4"/>
        <v>0</v>
      </c>
    </row>
    <row r="32">
      <c r="C32" s="4" t="s">
        <v>6</v>
      </c>
      <c r="D32" s="10">
        <f t="shared" si="3"/>
        <v>0</v>
      </c>
      <c r="E32" s="8">
        <f t="shared" si="4"/>
        <v>0</v>
      </c>
    </row>
    <row r="33">
      <c r="C33" s="4" t="s">
        <v>7</v>
      </c>
      <c r="D33" s="10">
        <f t="shared" si="3"/>
        <v>16241.81</v>
      </c>
      <c r="E33" s="8">
        <f t="shared" si="4"/>
        <v>0.2329111357</v>
      </c>
    </row>
    <row r="34">
      <c r="C34" s="2" t="s">
        <v>1</v>
      </c>
      <c r="D34" s="10">
        <f t="shared" si="3"/>
        <v>22766.12</v>
      </c>
      <c r="E34" s="8">
        <f t="shared" si="4"/>
        <v>0.3264711793</v>
      </c>
    </row>
    <row r="35">
      <c r="C35" s="2" t="s">
        <v>0</v>
      </c>
      <c r="D35" s="10">
        <f t="shared" si="3"/>
        <v>0</v>
      </c>
      <c r="E35" s="8">
        <f t="shared" si="4"/>
        <v>0</v>
      </c>
    </row>
    <row r="36">
      <c r="C36" s="2" t="s">
        <v>2</v>
      </c>
      <c r="D36" s="10">
        <f t="shared" si="3"/>
        <v>27504.725</v>
      </c>
      <c r="E36" s="8">
        <f t="shared" si="4"/>
        <v>0.3944238196</v>
      </c>
    </row>
    <row r="37">
      <c r="D37" s="11">
        <f>SUM(D29:D36)</f>
        <v>69733.935</v>
      </c>
    </row>
    <row r="40">
      <c r="D40" s="12">
        <v>12</v>
      </c>
    </row>
    <row r="41">
      <c r="D41" s="12">
        <v>12</v>
      </c>
    </row>
  </sheetData>
  <autoFilter ref="$A$4:$E$16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27</v>
      </c>
      <c r="D8" s="7">
        <v>3021.25</v>
      </c>
      <c r="E8" s="2" t="s">
        <v>28</v>
      </c>
    </row>
    <row r="9">
      <c r="A9" s="2" t="s">
        <v>3</v>
      </c>
      <c r="B9" s="2" t="s">
        <v>21</v>
      </c>
      <c r="D9" s="7">
        <v>0.0</v>
      </c>
      <c r="E9" s="2" t="s">
        <v>20</v>
      </c>
    </row>
    <row r="10">
      <c r="A10" s="2" t="s">
        <v>7</v>
      </c>
      <c r="B10" s="2" t="s">
        <v>29</v>
      </c>
      <c r="D10" s="2">
        <v>125.69</v>
      </c>
      <c r="E10" s="2" t="s">
        <v>29</v>
      </c>
    </row>
    <row r="11">
      <c r="A11" s="2" t="s">
        <v>7</v>
      </c>
      <c r="B11" s="2" t="s">
        <v>22</v>
      </c>
      <c r="D11" s="2">
        <f>+12059.37/2</f>
        <v>6029.685</v>
      </c>
      <c r="E11" s="2" t="s">
        <v>23</v>
      </c>
    </row>
    <row r="12">
      <c r="A12" s="2" t="s">
        <v>7</v>
      </c>
      <c r="B12" s="2" t="s">
        <v>22</v>
      </c>
      <c r="D12" s="2">
        <f>761/2</f>
        <v>380.5</v>
      </c>
      <c r="E12" s="2" t="s">
        <v>20</v>
      </c>
    </row>
    <row r="13">
      <c r="A13" s="2" t="s">
        <v>7</v>
      </c>
      <c r="B13" s="2" t="s">
        <v>24</v>
      </c>
      <c r="D13" s="2">
        <v>1443.73</v>
      </c>
      <c r="E13" s="2" t="s">
        <v>20</v>
      </c>
      <c r="F13" s="12">
        <f>D13-'2025-05-05'!D11</f>
        <v>-27.43</v>
      </c>
    </row>
    <row r="14">
      <c r="A14" s="2" t="s">
        <v>7</v>
      </c>
      <c r="B14" s="2" t="s">
        <v>7</v>
      </c>
      <c r="D14" s="2">
        <v>8428.45</v>
      </c>
      <c r="E14" s="2" t="s">
        <v>25</v>
      </c>
      <c r="F14" s="12">
        <f>D14-'2025-05-05'!D12</f>
        <v>169.46</v>
      </c>
    </row>
    <row r="15">
      <c r="A15" s="2" t="s">
        <v>1</v>
      </c>
      <c r="B15" s="2" t="s">
        <v>26</v>
      </c>
      <c r="D15" s="2">
        <f>(110000-64232.91)*0.5</f>
        <v>22883.545</v>
      </c>
    </row>
    <row r="16">
      <c r="A16" s="2" t="s">
        <v>2</v>
      </c>
      <c r="D16" s="15">
        <f>(75000+47352.97-31455.07-34129.46)/2</f>
        <v>28384.22</v>
      </c>
    </row>
    <row r="17">
      <c r="E17" s="8"/>
    </row>
    <row r="18">
      <c r="C18" s="4" t="s">
        <v>3</v>
      </c>
      <c r="D18" s="10">
        <f t="shared" ref="D18:D24" si="1">SUMIF($A$5:$A$16,C18,$D$5:$D$16)</f>
        <v>3021.25</v>
      </c>
      <c r="E18" s="8">
        <f t="shared" ref="E18:E24" si="2">D18/$D$25</f>
        <v>0.04273515154</v>
      </c>
    </row>
    <row r="19">
      <c r="C19" s="4" t="s">
        <v>4</v>
      </c>
      <c r="D19" s="10">
        <f t="shared" si="1"/>
        <v>0</v>
      </c>
      <c r="E19" s="8">
        <f t="shared" si="2"/>
        <v>0</v>
      </c>
    </row>
    <row r="20">
      <c r="C20" s="4" t="s">
        <v>5</v>
      </c>
      <c r="D20" s="10">
        <f t="shared" si="1"/>
        <v>0</v>
      </c>
      <c r="E20" s="8">
        <f t="shared" si="2"/>
        <v>0</v>
      </c>
    </row>
    <row r="21">
      <c r="C21" s="4" t="s">
        <v>6</v>
      </c>
      <c r="D21" s="10">
        <f t="shared" si="1"/>
        <v>0</v>
      </c>
      <c r="E21" s="8">
        <f t="shared" si="2"/>
        <v>0</v>
      </c>
    </row>
    <row r="22">
      <c r="C22" s="4" t="s">
        <v>7</v>
      </c>
      <c r="D22" s="10">
        <f t="shared" si="1"/>
        <v>16408.055</v>
      </c>
      <c r="E22" s="8">
        <f t="shared" si="2"/>
        <v>0.2320896043</v>
      </c>
    </row>
    <row r="23">
      <c r="C23" s="2" t="s">
        <v>1</v>
      </c>
      <c r="D23" s="10">
        <f t="shared" si="1"/>
        <v>22883.545</v>
      </c>
      <c r="E23" s="8">
        <f t="shared" si="2"/>
        <v>0.3236844893</v>
      </c>
    </row>
    <row r="24">
      <c r="C24" s="2" t="s">
        <v>2</v>
      </c>
      <c r="D24" s="10">
        <f t="shared" si="1"/>
        <v>28384.22</v>
      </c>
      <c r="E24" s="8">
        <f t="shared" si="2"/>
        <v>0.4014907549</v>
      </c>
    </row>
    <row r="25">
      <c r="D25" s="11">
        <f>SUM($D$18:D24)</f>
        <v>70697.07</v>
      </c>
      <c r="E25" s="8"/>
    </row>
    <row r="26">
      <c r="D26" s="11"/>
    </row>
    <row r="29">
      <c r="C29" s="4" t="s">
        <v>3</v>
      </c>
      <c r="D29" s="10">
        <f t="shared" ref="D29:D36" si="3">SUMIF($A$5:$A$16,C29,$D$5:$D$16)</f>
        <v>3021.25</v>
      </c>
      <c r="E29" s="8">
        <f t="shared" ref="E29:E36" si="4">D29/$D$37</f>
        <v>0.04273515154</v>
      </c>
    </row>
    <row r="30">
      <c r="C30" s="4" t="s">
        <v>4</v>
      </c>
      <c r="D30" s="10">
        <f t="shared" si="3"/>
        <v>0</v>
      </c>
      <c r="E30" s="8">
        <f t="shared" si="4"/>
        <v>0</v>
      </c>
    </row>
    <row r="31">
      <c r="C31" s="4" t="s">
        <v>5</v>
      </c>
      <c r="D31" s="10">
        <f t="shared" si="3"/>
        <v>0</v>
      </c>
      <c r="E31" s="8">
        <f t="shared" si="4"/>
        <v>0</v>
      </c>
    </row>
    <row r="32">
      <c r="C32" s="4" t="s">
        <v>6</v>
      </c>
      <c r="D32" s="10">
        <f t="shared" si="3"/>
        <v>0</v>
      </c>
      <c r="E32" s="8">
        <f t="shared" si="4"/>
        <v>0</v>
      </c>
    </row>
    <row r="33">
      <c r="C33" s="4" t="s">
        <v>7</v>
      </c>
      <c r="D33" s="10">
        <f t="shared" si="3"/>
        <v>16408.055</v>
      </c>
      <c r="E33" s="8">
        <f t="shared" si="4"/>
        <v>0.2320896043</v>
      </c>
    </row>
    <row r="34">
      <c r="C34" s="2" t="s">
        <v>1</v>
      </c>
      <c r="D34" s="10">
        <f t="shared" si="3"/>
        <v>22883.545</v>
      </c>
      <c r="E34" s="8">
        <f t="shared" si="4"/>
        <v>0.3236844893</v>
      </c>
    </row>
    <row r="35">
      <c r="C35" s="2" t="s">
        <v>0</v>
      </c>
      <c r="D35" s="10">
        <f t="shared" si="3"/>
        <v>0</v>
      </c>
      <c r="E35" s="8">
        <f t="shared" si="4"/>
        <v>0</v>
      </c>
    </row>
    <row r="36">
      <c r="C36" s="2" t="s">
        <v>2</v>
      </c>
      <c r="D36" s="10">
        <f t="shared" si="3"/>
        <v>28384.22</v>
      </c>
      <c r="E36" s="8">
        <f t="shared" si="4"/>
        <v>0.4014907549</v>
      </c>
    </row>
    <row r="37">
      <c r="D37" s="11">
        <f>SUM(D29:D36)</f>
        <v>70697.07</v>
      </c>
    </row>
    <row r="40">
      <c r="D40" s="12">
        <v>12</v>
      </c>
    </row>
    <row r="41">
      <c r="D41" s="12">
        <v>12</v>
      </c>
    </row>
  </sheetData>
  <autoFilter ref="$A$4:$E$16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2" t="s">
        <v>12</v>
      </c>
      <c r="E2" s="1">
        <v>45663.0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4</v>
      </c>
      <c r="B5" s="2" t="s">
        <v>18</v>
      </c>
      <c r="D5" s="7"/>
    </row>
    <row r="6">
      <c r="A6" s="2" t="s">
        <v>5</v>
      </c>
      <c r="B6" s="2" t="s">
        <v>19</v>
      </c>
      <c r="D6" s="7">
        <v>0.0</v>
      </c>
      <c r="F6" s="8"/>
    </row>
    <row r="7">
      <c r="A7" s="2" t="s">
        <v>5</v>
      </c>
      <c r="B7" s="2" t="s">
        <v>5</v>
      </c>
      <c r="D7" s="7">
        <v>0.0</v>
      </c>
      <c r="E7" s="2" t="s">
        <v>20</v>
      </c>
    </row>
    <row r="8">
      <c r="A8" s="2" t="s">
        <v>3</v>
      </c>
      <c r="B8" s="2" t="s">
        <v>27</v>
      </c>
      <c r="D8" s="7">
        <v>3009.51</v>
      </c>
      <c r="E8" s="2" t="s">
        <v>28</v>
      </c>
    </row>
    <row r="9">
      <c r="A9" s="2" t="s">
        <v>3</v>
      </c>
      <c r="B9" s="2" t="s">
        <v>21</v>
      </c>
      <c r="D9" s="7">
        <v>0.0</v>
      </c>
      <c r="E9" s="2" t="s">
        <v>20</v>
      </c>
    </row>
    <row r="10">
      <c r="A10" s="2" t="s">
        <v>7</v>
      </c>
      <c r="B10" s="2" t="s">
        <v>29</v>
      </c>
      <c r="D10" s="2">
        <v>91.09</v>
      </c>
      <c r="E10" s="2" t="s">
        <v>29</v>
      </c>
    </row>
    <row r="11">
      <c r="A11" s="2" t="s">
        <v>7</v>
      </c>
      <c r="B11" s="2" t="s">
        <v>22</v>
      </c>
      <c r="D11" s="2">
        <f>+11686.78/2</f>
        <v>5843.39</v>
      </c>
      <c r="E11" s="2" t="s">
        <v>23</v>
      </c>
    </row>
    <row r="12">
      <c r="A12" s="2" t="s">
        <v>7</v>
      </c>
      <c r="B12" s="2" t="s">
        <v>22</v>
      </c>
      <c r="D12" s="2">
        <f>1022.09/2</f>
        <v>511.045</v>
      </c>
      <c r="E12" s="2" t="s">
        <v>20</v>
      </c>
    </row>
    <row r="13">
      <c r="A13" s="2" t="s">
        <v>7</v>
      </c>
      <c r="B13" s="2" t="s">
        <v>24</v>
      </c>
      <c r="D13" s="2">
        <v>4065.45</v>
      </c>
      <c r="E13" s="2" t="s">
        <v>20</v>
      </c>
      <c r="F13" s="12">
        <f>D13-'2025-05-05'!D11</f>
        <v>2594.29</v>
      </c>
    </row>
    <row r="14">
      <c r="A14" s="2" t="s">
        <v>7</v>
      </c>
      <c r="B14" s="2" t="s">
        <v>7</v>
      </c>
      <c r="D14" s="2">
        <v>10990.94</v>
      </c>
      <c r="E14" s="2" t="s">
        <v>25</v>
      </c>
      <c r="F14" s="12">
        <f>D14-'2025-05-05'!D12</f>
        <v>2731.95</v>
      </c>
    </row>
    <row r="15">
      <c r="A15" s="2" t="s">
        <v>1</v>
      </c>
      <c r="B15" s="2" t="s">
        <v>26</v>
      </c>
      <c r="D15" s="2">
        <f>(110000-63997.4)*0.5</f>
        <v>23001.3</v>
      </c>
    </row>
    <row r="16">
      <c r="A16" s="2" t="s">
        <v>2</v>
      </c>
      <c r="D16" s="15">
        <f>(75000+45164.28-31180.9-33863.62)/2</f>
        <v>27559.88</v>
      </c>
    </row>
    <row r="17">
      <c r="E17" s="8"/>
    </row>
    <row r="18">
      <c r="C18" s="4" t="s">
        <v>3</v>
      </c>
      <c r="D18" s="10">
        <f t="shared" ref="D18:D24" si="1">SUMIF($A$5:$A$16,C18,$D$5:$D$16)</f>
        <v>3009.51</v>
      </c>
      <c r="E18" s="8">
        <f t="shared" ref="E18:E24" si="2">D18/$D$25</f>
        <v>0.04008799215</v>
      </c>
    </row>
    <row r="19">
      <c r="C19" s="4" t="s">
        <v>4</v>
      </c>
      <c r="D19" s="10">
        <f t="shared" si="1"/>
        <v>0</v>
      </c>
      <c r="E19" s="8">
        <f t="shared" si="2"/>
        <v>0</v>
      </c>
    </row>
    <row r="20">
      <c r="C20" s="4" t="s">
        <v>5</v>
      </c>
      <c r="D20" s="10">
        <f t="shared" si="1"/>
        <v>0</v>
      </c>
      <c r="E20" s="8">
        <f t="shared" si="2"/>
        <v>0</v>
      </c>
    </row>
    <row r="21">
      <c r="C21" s="4" t="s">
        <v>6</v>
      </c>
      <c r="D21" s="10">
        <f t="shared" si="1"/>
        <v>0</v>
      </c>
      <c r="E21" s="8">
        <f t="shared" si="2"/>
        <v>0</v>
      </c>
    </row>
    <row r="22">
      <c r="C22" s="4" t="s">
        <v>7</v>
      </c>
      <c r="D22" s="10">
        <f t="shared" si="1"/>
        <v>21501.915</v>
      </c>
      <c r="E22" s="8">
        <f t="shared" si="2"/>
        <v>0.2864149313</v>
      </c>
    </row>
    <row r="23">
      <c r="C23" s="2" t="s">
        <v>1</v>
      </c>
      <c r="D23" s="10">
        <f t="shared" si="1"/>
        <v>23001.3</v>
      </c>
      <c r="E23" s="8">
        <f t="shared" si="2"/>
        <v>0.3063873966</v>
      </c>
    </row>
    <row r="24">
      <c r="C24" s="2" t="s">
        <v>2</v>
      </c>
      <c r="D24" s="10">
        <f t="shared" si="1"/>
        <v>27559.88</v>
      </c>
      <c r="E24" s="8">
        <f t="shared" si="2"/>
        <v>0.36710968</v>
      </c>
    </row>
    <row r="25">
      <c r="D25" s="11">
        <f>SUM($D$18:D24)</f>
        <v>75072.605</v>
      </c>
      <c r="E25" s="8"/>
    </row>
    <row r="26">
      <c r="D26" s="11"/>
    </row>
    <row r="29">
      <c r="C29" s="4" t="s">
        <v>3</v>
      </c>
      <c r="D29" s="10">
        <f t="shared" ref="D29:D36" si="3">SUMIF($A$5:$A$16,C29,$D$5:$D$16)</f>
        <v>3009.51</v>
      </c>
      <c r="E29" s="8">
        <f t="shared" ref="E29:E36" si="4">D29/$D$37</f>
        <v>0.04008799215</v>
      </c>
    </row>
    <row r="30">
      <c r="C30" s="4" t="s">
        <v>4</v>
      </c>
      <c r="D30" s="10">
        <f t="shared" si="3"/>
        <v>0</v>
      </c>
      <c r="E30" s="8">
        <f t="shared" si="4"/>
        <v>0</v>
      </c>
    </row>
    <row r="31">
      <c r="C31" s="4" t="s">
        <v>5</v>
      </c>
      <c r="D31" s="10">
        <f t="shared" si="3"/>
        <v>0</v>
      </c>
      <c r="E31" s="8">
        <f t="shared" si="4"/>
        <v>0</v>
      </c>
    </row>
    <row r="32">
      <c r="C32" s="4" t="s">
        <v>6</v>
      </c>
      <c r="D32" s="10">
        <f t="shared" si="3"/>
        <v>0</v>
      </c>
      <c r="E32" s="8">
        <f t="shared" si="4"/>
        <v>0</v>
      </c>
    </row>
    <row r="33">
      <c r="C33" s="4" t="s">
        <v>7</v>
      </c>
      <c r="D33" s="10">
        <f t="shared" si="3"/>
        <v>21501.915</v>
      </c>
      <c r="E33" s="8">
        <f t="shared" si="4"/>
        <v>0.2864149313</v>
      </c>
    </row>
    <row r="34">
      <c r="C34" s="2" t="s">
        <v>1</v>
      </c>
      <c r="D34" s="10">
        <f t="shared" si="3"/>
        <v>23001.3</v>
      </c>
      <c r="E34" s="8">
        <f t="shared" si="4"/>
        <v>0.3063873966</v>
      </c>
    </row>
    <row r="35">
      <c r="C35" s="2" t="s">
        <v>0</v>
      </c>
      <c r="D35" s="10">
        <f t="shared" si="3"/>
        <v>0</v>
      </c>
      <c r="E35" s="8">
        <f t="shared" si="4"/>
        <v>0</v>
      </c>
    </row>
    <row r="36">
      <c r="C36" s="2" t="s">
        <v>2</v>
      </c>
      <c r="D36" s="10">
        <f t="shared" si="3"/>
        <v>27559.88</v>
      </c>
      <c r="E36" s="8">
        <f t="shared" si="4"/>
        <v>0.36710968</v>
      </c>
    </row>
    <row r="37">
      <c r="D37" s="11">
        <f>SUM(D29:D36)</f>
        <v>75072.605</v>
      </c>
    </row>
    <row r="40">
      <c r="D40" s="12">
        <v>12</v>
      </c>
    </row>
    <row r="41">
      <c r="D41" s="12">
        <v>12</v>
      </c>
    </row>
  </sheetData>
  <autoFilter ref="$A$4:$E$16"/>
  <drawing r:id="rId1"/>
</worksheet>
</file>