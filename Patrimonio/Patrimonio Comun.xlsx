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<sst xmlns="http://schemas.openxmlformats.org/spreadsheetml/2006/main" count="40" uniqueCount="13">
  <si>
    <t>Patrimonio Comun</t>
  </si>
  <si>
    <t>Antonio</t>
  </si>
  <si>
    <t>Casa</t>
  </si>
  <si>
    <t>Inmueble</t>
  </si>
  <si>
    <t>Hereditas</t>
  </si>
  <si>
    <t>RF</t>
  </si>
  <si>
    <t>PP</t>
  </si>
  <si>
    <t>PIAS</t>
  </si>
  <si>
    <t>Crypto</t>
  </si>
  <si>
    <t>CASH</t>
  </si>
  <si>
    <t>Total</t>
  </si>
  <si>
    <t>Patri</t>
  </si>
  <si>
    <t>comun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</si>
</sst>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-mm"/>
    <numFmt numFmtId="166" formatCode="[$€]#,##0.00"/>
    <numFmt numFmtId="167" formatCode="&quot;€&quot;#,##0.00"/>
    <numFmt numFmtId="168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6" xfId="0" applyFont="1" applyNumberFormat="1"/>
    <xf borderId="0" fillId="0" fontId="2" numFmtId="167" xfId="0" applyAlignment="1" applyFont="1" applyNumberFormat="1">
      <alignment horizontal="right" readingOrder="0" vertical="bottom"/>
    </xf>
    <xf borderId="0" fillId="0" fontId="1" numFmtId="167" xfId="0" applyFont="1" applyNumberFormat="1"/>
    <xf borderId="0" fillId="0" fontId="1" numFmtId="164" xfId="0" applyFont="1" applyNumberFormat="1"/>
    <xf borderId="1" fillId="0" fontId="2" numFmtId="0" xfId="0" applyAlignment="1" applyBorder="1" applyFont="1">
      <alignment readingOrder="0" vertical="bottom"/>
    </xf>
    <xf borderId="2" fillId="0" fontId="1" numFmtId="167" xfId="0" applyBorder="1" applyFont="1" applyNumberFormat="1"/>
    <xf borderId="2" fillId="0" fontId="1" numFmtId="166" xfId="0" applyBorder="1" applyFont="1" applyNumberFormat="1"/>
    <xf borderId="3" fillId="0" fontId="1" numFmtId="167" xfId="0" applyBorder="1" applyFont="1" applyNumberFormat="1"/>
    <xf borderId="0" fillId="0" fontId="1" numFmtId="0" xfId="0" applyFont="1"/>
    <xf borderId="0" fillId="0" fontId="1" numFmtId="10" xfId="0" applyFont="1" applyNumberFormat="1"/>
    <xf borderId="2" fillId="0" fontId="1" numFmtId="10" xfId="0" applyBorder="1" applyFont="1" applyNumberFormat="1"/>
    <xf borderId="3" fillId="0" fontId="1" numFmtId="10" xfId="0" applyBorder="1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Casa, Inmueble, Hereditas, RF, PP…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Data!$C$28:$Y$28</c:f>
              <c:numCache/>
            </c:numRef>
          </c:val>
          <c:smooth val="0"/>
        </c:ser>
        <c:ser>
          <c:idx val="1"/>
          <c:order val="1"/>
          <c:tx>
            <c:strRef>
              <c:f>Data!$B$29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Data!$C$29:$Y$29</c:f>
              <c:numCache/>
            </c:numRef>
          </c:val>
          <c:smooth val="0"/>
        </c:ser>
        <c:ser>
          <c:idx val="2"/>
          <c:order val="2"/>
          <c:tx>
            <c:strRef>
              <c:f>Data!$B$30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Data!$C$30:$Y$30</c:f>
              <c:numCache/>
            </c:numRef>
          </c:val>
          <c:smooth val="0"/>
        </c:ser>
        <c:ser>
          <c:idx val="3"/>
          <c:order val="3"/>
          <c:tx>
            <c:strRef>
              <c:f>Data!$B$31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Data!$C$31:$Y$31</c:f>
              <c:numCache/>
            </c:numRef>
          </c:val>
          <c:smooth val="0"/>
        </c:ser>
        <c:ser>
          <c:idx val="4"/>
          <c:order val="4"/>
          <c:tx>
            <c:strRef>
              <c:f>Data!$B$32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Data!$C$32:$Y$32</c:f>
              <c:numCache/>
            </c:numRef>
          </c:val>
          <c:smooth val="0"/>
        </c:ser>
        <c:ser>
          <c:idx val="5"/>
          <c:order val="5"/>
          <c:tx>
            <c:strRef>
              <c:f>Data!$B$34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Data!$C$34:$Y$34</c:f>
              <c:numCache/>
            </c:numRef>
          </c:val>
          <c:smooth val="0"/>
        </c:ser>
        <c:ser>
          <c:idx val="7"/>
          <c:order val="7"/>
          <c:tx>
            <c:strRef>
              <c:f>Data!$B$35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Data!$C$35:$Y$35</c:f>
              <c:numCache/>
            </c:numRef>
          </c:val>
          <c:smooth val="0"/>
        </c:ser>
        <c:axId val="1349443731"/>
        <c:axId val="2071053093"/>
      </c:lineChart>
      <c:catAx>
        <c:axId val="1349443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053093"/>
      </c:catAx>
      <c:valAx>
        <c:axId val="2071053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443731"/>
      </c:valAx>
      <c:lineChart>
        <c:varyColors val="0"/>
        <c:ser>
          <c:idx val="6"/>
          <c:order val="6"/>
          <c:tx>
            <c:strRef>
              <c:f>Data!$B$36</c:f>
            </c:strRef>
          </c:tx>
          <c:spPr>
            <a:ln cmpd="sng" w="3810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Data!$C$27:$Y$27</c:f>
            </c:strRef>
          </c:cat>
          <c:val>
            <c:numRef>
              <c:f>Data!$C$36:$Y$36</c:f>
              <c:numCache/>
            </c:numRef>
          </c:val>
          <c:smooth val="0"/>
        </c:ser>
        <c:axId val="166172152"/>
        <c:axId val="398278809"/>
      </c:lineChart>
      <c:catAx>
        <c:axId val="166172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278809"/>
      </c:catAx>
      <c:valAx>
        <c:axId val="39827880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721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Data!$B$28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Data!$C$28:$Z$28</c:f>
              <c:numCache/>
            </c:numRef>
          </c:val>
        </c:ser>
        <c:ser>
          <c:idx val="1"/>
          <c:order val="1"/>
          <c:tx>
            <c:strRef>
              <c:f>Data!$B$29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Data!$C$29:$Z$29</c:f>
              <c:numCache/>
            </c:numRef>
          </c:val>
        </c:ser>
        <c:ser>
          <c:idx val="2"/>
          <c:order val="2"/>
          <c:tx>
            <c:strRef>
              <c:f>Data!$B$30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Data!$C$30:$Z$30</c:f>
              <c:numCache/>
            </c:numRef>
          </c:val>
        </c:ser>
        <c:ser>
          <c:idx val="3"/>
          <c:order val="3"/>
          <c:tx>
            <c:strRef>
              <c:f>Data!$B$31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Data!$C$31:$Z$31</c:f>
              <c:numCache/>
            </c:numRef>
          </c:val>
        </c:ser>
        <c:ser>
          <c:idx val="4"/>
          <c:order val="4"/>
          <c:tx>
            <c:strRef>
              <c:f>Data!$B$32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Data!$C$32:$Z$32</c:f>
              <c:numCache/>
            </c:numRef>
          </c:val>
        </c:ser>
        <c:ser>
          <c:idx val="5"/>
          <c:order val="5"/>
          <c:tx>
            <c:strRef>
              <c:f>Data!$B$33</c:f>
            </c:strRef>
          </c:tx>
          <c:spPr>
            <a:solidFill>
              <a:schemeClr val="accent6"/>
            </a:solidFill>
            <a:ln cmpd="sng">
              <a:noFill/>
            </a:ln>
          </c:spPr>
          <c:val>
            <c:numRef>
              <c:f>Data!$C$33:$Z$33</c:f>
              <c:numCache/>
            </c:numRef>
          </c:val>
        </c:ser>
        <c:ser>
          <c:idx val="6"/>
          <c:order val="6"/>
          <c:tx>
            <c:strRef>
              <c:f>Data!$B$34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val>
            <c:numRef>
              <c:f>Data!$C$34:$Z$34</c:f>
              <c:numCache/>
            </c:numRef>
          </c:val>
        </c:ser>
        <c:ser>
          <c:idx val="7"/>
          <c:order val="7"/>
          <c:tx>
            <c:strRef>
              <c:f>Data!$B$35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val>
            <c:numRef>
              <c:f>Data!$C$35:$Z$35</c:f>
              <c:numCache/>
            </c:numRef>
          </c:val>
        </c:ser>
        <c:overlap val="100"/>
        <c:axId val="463396375"/>
        <c:axId val="1648130784"/>
      </c:barChart>
      <c:catAx>
        <c:axId val="463396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130784"/>
      </c:catAx>
      <c:valAx>
        <c:axId val="1648130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396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647700</xdr:colOff>
      <xdr:row>13</xdr:row>
      <xdr:rowOff>19050</xdr:rowOff>
    </xdr:from>
    <xdr:ext cx="5715000" cy="3533775"/>
    <xdr:graphicFrame>
      <xdr:nvGraphicFramePr>
        <xdr:cNvPr id="1" name="Chart 1" title="Casa, Inmueble, Hereditas, RF, PP…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114300</xdr:colOff>
      <xdr:row>37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3">
      <c r="B3" s="2"/>
      <c r="C3" s="3">
        <v>44531.0</v>
      </c>
      <c r="D3" s="3">
        <v>45200.0</v>
      </c>
      <c r="E3" s="4">
        <v>45444.0</v>
      </c>
      <c r="F3" s="5">
        <v>45510.0</v>
      </c>
      <c r="G3" s="5">
        <v>45538.0</v>
      </c>
      <c r="H3" s="5">
        <v>45573.0</v>
      </c>
      <c r="I3" s="5">
        <v>45630.0</v>
      </c>
      <c r="J3" s="5">
        <v>45663.0</v>
      </c>
      <c r="K3" s="5">
        <v>45694.0</v>
      </c>
      <c r="L3" s="3">
        <v>45722.0</v>
      </c>
      <c r="M3" s="5">
        <v>45760.0</v>
      </c>
      <c r="N3" s="5">
        <v>45782.0</v>
      </c>
      <c r="O3" s="5">
        <v>45817.0</v>
      </c>
      <c r="P3" s="5">
        <v>45843.0</v>
      </c>
      <c r="Q3" s="5">
        <v>45875.0</v>
      </c>
      <c r="R3" s="3">
        <v>45905.0</v>
      </c>
      <c r="S3" s="5">
        <v>45942.0</v>
      </c>
      <c r="T3" s="5">
        <v>45968.0</v>
      </c>
      <c r="U3" s="5">
        <v>45998.0</v>
      </c>
      <c r="V3" s="5">
        <v>46034.0</v>
      </c>
      <c r="W3" s="5">
        <v>46064.0</v>
      </c>
      <c r="X3" s="5">
        <v>46093.0</v>
      </c>
      <c r="Y3" s="5">
        <v>46118.0</v>
      </c>
      <c r="Z3" s="5">
        <v>46153.0</v>
      </c>
      <c r="AA3" s="5">
        <v>46180.0</v>
      </c>
      <c r="AB3" s="5">
        <v>46208.0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B4" s="6" t="s">
        <v>2</v>
      </c>
      <c r="C4" s="7">
        <v>15000.0</v>
      </c>
      <c r="D4" s="7">
        <v>28843.0</v>
      </c>
      <c r="E4" s="8">
        <v>31007.45</v>
      </c>
      <c r="F4" s="8">
        <v>31525.18</v>
      </c>
      <c r="G4" s="8">
        <v>31785.41</v>
      </c>
      <c r="H4" s="8">
        <v>32046.55</v>
      </c>
      <c r="I4" s="8">
        <v>32608.74</v>
      </c>
      <c r="J4" s="8">
        <v>34313.56</v>
      </c>
      <c r="K4" s="8">
        <v>34619.23</v>
      </c>
      <c r="L4" s="7">
        <v>34925.74</v>
      </c>
      <c r="M4" s="8">
        <v>35233.1</v>
      </c>
      <c r="N4" s="9">
        <v>35541.31</v>
      </c>
      <c r="O4" s="8">
        <v>35850.37</v>
      </c>
      <c r="P4" s="8">
        <v>36160.28</v>
      </c>
      <c r="Q4" s="8">
        <v>36471.05</v>
      </c>
      <c r="R4" s="7">
        <v>36782.68</v>
      </c>
      <c r="S4" s="8">
        <v>37095.17</v>
      </c>
      <c r="T4" s="8">
        <v>37408.52</v>
      </c>
      <c r="U4" s="8">
        <v>37768.61</v>
      </c>
      <c r="V4" s="8">
        <v>38129.38</v>
      </c>
      <c r="W4" s="8">
        <v>38490.83</v>
      </c>
      <c r="X4" s="8">
        <v>48852.96</v>
      </c>
      <c r="Y4" s="8">
        <v>49215.78</v>
      </c>
      <c r="Z4" s="8">
        <v>49579.28</v>
      </c>
      <c r="AA4" s="8">
        <v>39943.47</v>
      </c>
      <c r="AB4" s="8">
        <v>40308.34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>
      <c r="B5" s="6" t="s">
        <v>3</v>
      </c>
      <c r="C5" s="7">
        <v>0.0</v>
      </c>
      <c r="D5" s="7">
        <v>19071.5</v>
      </c>
      <c r="E5" s="8">
        <v>20000.0</v>
      </c>
      <c r="F5" s="8">
        <v>20000.0</v>
      </c>
      <c r="G5" s="8">
        <v>20234.32</v>
      </c>
      <c r="H5" s="8">
        <v>20470.5</v>
      </c>
      <c r="I5" s="8">
        <v>20470.5</v>
      </c>
      <c r="J5" s="8">
        <v>20825.65</v>
      </c>
      <c r="K5" s="8">
        <v>20945.12</v>
      </c>
      <c r="L5" s="7">
        <v>21064.55</v>
      </c>
      <c r="M5" s="8">
        <v>21184.26</v>
      </c>
      <c r="N5" s="9">
        <v>21304.25</v>
      </c>
      <c r="O5" s="8">
        <v>21424.52</v>
      </c>
      <c r="P5" s="8">
        <v>21545.07</v>
      </c>
      <c r="Q5" s="8">
        <v>21665.9</v>
      </c>
      <c r="R5" s="7">
        <v>21787.02</v>
      </c>
      <c r="S5" s="8">
        <v>21908.41</v>
      </c>
      <c r="T5" s="8">
        <v>22030.09</v>
      </c>
      <c r="U5" s="8">
        <v>22152.05</v>
      </c>
      <c r="V5" s="8">
        <v>22274.29</v>
      </c>
      <c r="W5" s="8">
        <v>22396.82</v>
      </c>
      <c r="X5" s="8">
        <v>22519.64</v>
      </c>
      <c r="Y5" s="8">
        <v>22642.74</v>
      </c>
      <c r="Z5" s="8">
        <v>22766.12</v>
      </c>
      <c r="AA5" s="8">
        <v>22883.55</v>
      </c>
      <c r="AB5" s="8">
        <v>23001.3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>
      <c r="B6" s="6" t="s">
        <v>4</v>
      </c>
      <c r="C6" s="7">
        <v>0.0</v>
      </c>
      <c r="D6" s="7">
        <v>0.0</v>
      </c>
      <c r="E6" s="8">
        <v>0.0</v>
      </c>
      <c r="F6" s="8">
        <v>8000.0</v>
      </c>
      <c r="G6" s="8">
        <v>8000.0</v>
      </c>
      <c r="H6" s="8">
        <v>7680.0</v>
      </c>
      <c r="I6" s="8">
        <v>6363.5</v>
      </c>
      <c r="J6" s="8">
        <v>15919.5</v>
      </c>
      <c r="K6" s="8">
        <v>16523.85</v>
      </c>
      <c r="L6" s="7">
        <v>16160.85</v>
      </c>
      <c r="M6" s="8">
        <v>16790.39</v>
      </c>
      <c r="N6" s="9">
        <v>17219.355</v>
      </c>
      <c r="O6" s="8">
        <v>17738.5</v>
      </c>
      <c r="P6" s="8">
        <v>18279.97</v>
      </c>
      <c r="Q6" s="8">
        <v>18926.37</v>
      </c>
      <c r="R6" s="7">
        <v>18845.2</v>
      </c>
      <c r="S6" s="8">
        <v>19136.19</v>
      </c>
      <c r="T6" s="8">
        <v>19756.99</v>
      </c>
      <c r="U6" s="8">
        <v>20312.42</v>
      </c>
      <c r="V6" s="8">
        <v>20757.92</v>
      </c>
      <c r="W6" s="8">
        <v>22318.76</v>
      </c>
      <c r="X6" s="8">
        <v>23239.07</v>
      </c>
      <c r="Y6" s="8">
        <v>26936.07</v>
      </c>
      <c r="Z6" s="8">
        <v>27504.73</v>
      </c>
      <c r="AA6" s="8">
        <v>28384.22</v>
      </c>
      <c r="AB6" s="8">
        <v>27559.88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>
      <c r="B7" s="6" t="s">
        <v>5</v>
      </c>
      <c r="C7" s="7">
        <v>17010.0</v>
      </c>
      <c r="D7" s="7">
        <v>23252.0</v>
      </c>
      <c r="E7" s="8">
        <v>23251.97</v>
      </c>
      <c r="F7" s="8">
        <v>21074.69</v>
      </c>
      <c r="G7" s="8">
        <v>22784.73</v>
      </c>
      <c r="H7" s="8">
        <v>23391.62</v>
      </c>
      <c r="I7" s="8">
        <v>25240.08</v>
      </c>
      <c r="J7" s="8">
        <v>29592.03</v>
      </c>
      <c r="K7" s="8">
        <v>31497.21</v>
      </c>
      <c r="L7" s="7">
        <v>32973.37</v>
      </c>
      <c r="M7" s="8">
        <v>28946.33</v>
      </c>
      <c r="N7" s="9">
        <v>32000.900000000005</v>
      </c>
      <c r="O7" s="8">
        <v>35435.01</v>
      </c>
      <c r="P7" s="8">
        <v>29087.09</v>
      </c>
      <c r="Q7" s="8">
        <v>31861.69</v>
      </c>
      <c r="R7" s="7">
        <v>33006.82</v>
      </c>
      <c r="S7" s="8">
        <v>27612.33</v>
      </c>
      <c r="T7" s="8">
        <v>28798.7</v>
      </c>
      <c r="U7" s="8">
        <v>30758.73</v>
      </c>
      <c r="V7" s="8">
        <v>31261.56</v>
      </c>
      <c r="W7" s="1">
        <v>30416.32</v>
      </c>
      <c r="X7" s="8">
        <v>30416.32</v>
      </c>
      <c r="Y7" s="8">
        <v>30178.51</v>
      </c>
      <c r="Z7" s="8">
        <v>30855.5</v>
      </c>
      <c r="AA7" s="8">
        <v>32219.09</v>
      </c>
      <c r="AB7" s="8">
        <v>36661.74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>
      <c r="B8" s="6" t="s">
        <v>6</v>
      </c>
      <c r="C8" s="7">
        <v>3865.99</v>
      </c>
      <c r="D8" s="7">
        <v>4773.0</v>
      </c>
      <c r="E8" s="8">
        <v>7728.0</v>
      </c>
      <c r="F8" s="8">
        <v>7380.47</v>
      </c>
      <c r="G8" s="8">
        <v>8001.98</v>
      </c>
      <c r="H8" s="8">
        <v>8042.52</v>
      </c>
      <c r="I8" s="8">
        <v>8515.91</v>
      </c>
      <c r="J8" s="8">
        <v>8316.19</v>
      </c>
      <c r="K8" s="8">
        <v>8456.98</v>
      </c>
      <c r="L8" s="7">
        <v>8145.08</v>
      </c>
      <c r="M8" s="8">
        <v>7442.64</v>
      </c>
      <c r="N8" s="9">
        <v>7892.0</v>
      </c>
      <c r="O8" s="8">
        <v>8311.38</v>
      </c>
      <c r="P8" s="8">
        <v>8666.3</v>
      </c>
      <c r="Q8" s="8">
        <v>8673.43</v>
      </c>
      <c r="R8" s="7">
        <v>8928.38</v>
      </c>
      <c r="S8" s="8">
        <v>8969.58</v>
      </c>
      <c r="T8" s="8">
        <v>9179.7</v>
      </c>
      <c r="U8" s="8">
        <v>9355.62</v>
      </c>
      <c r="V8" s="8">
        <v>10969.93</v>
      </c>
      <c r="W8" s="8">
        <v>10737.67</v>
      </c>
      <c r="X8" s="8">
        <v>10684.41</v>
      </c>
      <c r="Y8" s="8">
        <v>10364.64</v>
      </c>
      <c r="Z8" s="8">
        <v>11494.69</v>
      </c>
      <c r="AA8" s="8">
        <v>11938.75</v>
      </c>
      <c r="AB8" s="8">
        <v>11975.7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B9" s="6" t="s">
        <v>7</v>
      </c>
      <c r="C9" s="7">
        <v>2879.05</v>
      </c>
      <c r="D9" s="7">
        <v>5800.0</v>
      </c>
      <c r="E9" s="8">
        <v>9992.0</v>
      </c>
      <c r="F9" s="8">
        <v>9938.93</v>
      </c>
      <c r="G9" s="8">
        <v>10540.65</v>
      </c>
      <c r="H9" s="8">
        <v>10700.9</v>
      </c>
      <c r="I9" s="8">
        <v>0.0</v>
      </c>
      <c r="J9" s="8">
        <v>0.0</v>
      </c>
      <c r="K9" s="8">
        <v>0.0</v>
      </c>
      <c r="L9" s="7">
        <v>0.0</v>
      </c>
      <c r="M9" s="8">
        <v>0.0</v>
      </c>
      <c r="N9" s="9">
        <v>0.0</v>
      </c>
      <c r="O9" s="8">
        <v>0.0</v>
      </c>
      <c r="P9" s="8">
        <v>0.0</v>
      </c>
      <c r="Q9" s="8">
        <v>0.0</v>
      </c>
      <c r="R9" s="7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>
      <c r="B10" s="6" t="s">
        <v>8</v>
      </c>
      <c r="C10" s="7">
        <v>4400.0</v>
      </c>
      <c r="D10" s="7">
        <v>630.0</v>
      </c>
      <c r="E10" s="8">
        <v>1370.0</v>
      </c>
      <c r="F10" s="8">
        <v>1370.0</v>
      </c>
      <c r="G10" s="8">
        <v>1140.04</v>
      </c>
      <c r="H10" s="8">
        <v>1315.78</v>
      </c>
      <c r="I10" s="8">
        <v>2200.0</v>
      </c>
      <c r="J10" s="8">
        <v>2200.0</v>
      </c>
      <c r="K10" s="8">
        <v>1982.0</v>
      </c>
      <c r="L10" s="7">
        <v>1935.08</v>
      </c>
      <c r="M10" s="8">
        <v>1777.0</v>
      </c>
      <c r="N10" s="9">
        <v>1935.76</v>
      </c>
      <c r="O10" s="8">
        <v>2184.9</v>
      </c>
      <c r="P10" s="8">
        <v>2184.9</v>
      </c>
      <c r="Q10" s="8">
        <v>2320.48</v>
      </c>
      <c r="R10" s="7">
        <v>2336.04</v>
      </c>
      <c r="S10" s="8">
        <v>2336.04</v>
      </c>
      <c r="T10" s="8">
        <v>2152.21</v>
      </c>
      <c r="U10" s="8">
        <v>1636.42</v>
      </c>
      <c r="V10" s="8">
        <v>1636.42</v>
      </c>
      <c r="W10" s="8">
        <v>1156.47</v>
      </c>
      <c r="X10" s="8">
        <v>1256.13</v>
      </c>
      <c r="Y10" s="8">
        <v>1256.13</v>
      </c>
      <c r="Z10" s="8">
        <v>1256.13</v>
      </c>
      <c r="AA10" s="8">
        <v>1405.99</v>
      </c>
      <c r="AB10" s="8">
        <v>1180.94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B11" s="6" t="s">
        <v>9</v>
      </c>
      <c r="C11" s="7">
        <v>37320.0</v>
      </c>
      <c r="D11" s="7">
        <v>8527.0</v>
      </c>
      <c r="E11" s="8">
        <v>20112.29</v>
      </c>
      <c r="F11" s="8">
        <v>12035.43</v>
      </c>
      <c r="G11" s="8">
        <v>14556.22</v>
      </c>
      <c r="H11" s="8">
        <v>17074.26</v>
      </c>
      <c r="I11" s="8">
        <v>31141.53</v>
      </c>
      <c r="J11" s="8">
        <v>9458.36</v>
      </c>
      <c r="K11" s="8">
        <v>10771.15</v>
      </c>
      <c r="L11" s="7">
        <v>11914.89</v>
      </c>
      <c r="M11" s="8">
        <v>11206.19</v>
      </c>
      <c r="N11" s="10">
        <v>13677.845</v>
      </c>
      <c r="O11" s="8">
        <v>15779.51</v>
      </c>
      <c r="P11" s="8">
        <v>25872.34</v>
      </c>
      <c r="Q11" s="8">
        <v>28188.91</v>
      </c>
      <c r="R11" s="7">
        <v>29448.66</v>
      </c>
      <c r="S11" s="8">
        <v>33216.15</v>
      </c>
      <c r="T11" s="8">
        <v>34100.45</v>
      </c>
      <c r="U11" s="8">
        <v>32645.79</v>
      </c>
      <c r="V11" s="8">
        <v>27373.95</v>
      </c>
      <c r="W11" s="8">
        <v>25745.78</v>
      </c>
      <c r="X11" s="8">
        <v>14577.71</v>
      </c>
      <c r="Y11" s="8">
        <v>15357.43</v>
      </c>
      <c r="Z11" s="8">
        <v>21421.81</v>
      </c>
      <c r="AA11" s="8">
        <v>31601.95</v>
      </c>
      <c r="AB11" s="8">
        <v>30761.02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>
      <c r="B12" s="6" t="s">
        <v>10</v>
      </c>
      <c r="C12" s="7">
        <v>80475.04</v>
      </c>
      <c r="D12" s="7">
        <v>90896.5</v>
      </c>
      <c r="E12" s="8">
        <v>113461.71</v>
      </c>
      <c r="F12" s="8">
        <v>111324.7</v>
      </c>
      <c r="G12" s="8">
        <v>117043.34</v>
      </c>
      <c r="H12" s="8">
        <v>120722.13</v>
      </c>
      <c r="I12" s="8">
        <v>126540.26</v>
      </c>
      <c r="J12" s="8">
        <v>120625.29</v>
      </c>
      <c r="K12" s="8">
        <v>124795.54</v>
      </c>
      <c r="L12" s="8">
        <v>127119.56</v>
      </c>
      <c r="M12" s="8">
        <v>122737.99</v>
      </c>
      <c r="N12" s="10">
        <v>129571.42</v>
      </c>
      <c r="O12" s="8">
        <v>136415.12</v>
      </c>
      <c r="P12" s="8">
        <v>141795.95</v>
      </c>
      <c r="Q12" s="8">
        <v>148107.83</v>
      </c>
      <c r="R12" s="7">
        <v>151119.24</v>
      </c>
      <c r="S12" s="8">
        <v>150273.87</v>
      </c>
      <c r="T12" s="8">
        <v>153426.65</v>
      </c>
      <c r="U12" s="8">
        <v>154629.64</v>
      </c>
      <c r="V12" s="8">
        <v>152403.45</v>
      </c>
      <c r="W12" s="8">
        <v>151907.72</v>
      </c>
      <c r="X12" s="8">
        <v>151546.24</v>
      </c>
      <c r="Y12" s="8">
        <v>155951.3</v>
      </c>
      <c r="Z12" s="8">
        <v>164878.26</v>
      </c>
      <c r="AA12" s="8">
        <v>165987.23</v>
      </c>
      <c r="AB12" s="8">
        <v>171448.91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>
      <c r="B13" s="2"/>
      <c r="C13" s="2"/>
      <c r="D13" s="2"/>
    </row>
    <row r="14">
      <c r="B14" s="6" t="s">
        <v>11</v>
      </c>
      <c r="C14" s="2"/>
      <c r="D14" s="2"/>
    </row>
    <row r="15">
      <c r="C15" s="3">
        <v>44531.0</v>
      </c>
      <c r="D15" s="3">
        <v>45200.0</v>
      </c>
      <c r="E15" s="4">
        <v>45444.0</v>
      </c>
      <c r="F15" s="5">
        <v>45510.0</v>
      </c>
      <c r="G15" s="5">
        <v>45538.0</v>
      </c>
      <c r="H15" s="5">
        <v>45573.0</v>
      </c>
      <c r="I15" s="5">
        <v>45630.0</v>
      </c>
      <c r="J15" s="5">
        <f t="shared" ref="J15:W15" si="1">J3</f>
        <v>45663</v>
      </c>
      <c r="K15" s="5">
        <f t="shared" si="1"/>
        <v>45694</v>
      </c>
      <c r="L15" s="5">
        <f t="shared" si="1"/>
        <v>45722</v>
      </c>
      <c r="M15" s="5">
        <f t="shared" si="1"/>
        <v>45760</v>
      </c>
      <c r="N15" s="5">
        <f t="shared" si="1"/>
        <v>45782</v>
      </c>
      <c r="O15" s="5">
        <f t="shared" si="1"/>
        <v>45817</v>
      </c>
      <c r="P15" s="5">
        <f t="shared" si="1"/>
        <v>45843</v>
      </c>
      <c r="Q15" s="5">
        <f t="shared" si="1"/>
        <v>45875</v>
      </c>
      <c r="R15" s="5">
        <f t="shared" si="1"/>
        <v>45905</v>
      </c>
      <c r="S15" s="5">
        <f t="shared" si="1"/>
        <v>45942</v>
      </c>
      <c r="T15" s="5">
        <f t="shared" si="1"/>
        <v>45968</v>
      </c>
      <c r="U15" s="5">
        <f t="shared" si="1"/>
        <v>45998</v>
      </c>
      <c r="V15" s="5">
        <f t="shared" si="1"/>
        <v>46034</v>
      </c>
      <c r="W15" s="5">
        <f t="shared" si="1"/>
        <v>46064</v>
      </c>
      <c r="X15" s="5">
        <v>46093.0</v>
      </c>
      <c r="Y15" s="5">
        <v>46118.0</v>
      </c>
      <c r="Z15" s="5">
        <v>46153.0</v>
      </c>
      <c r="AA15" s="5">
        <v>46180.0</v>
      </c>
      <c r="AB15" s="5">
        <v>46208.0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B16" s="6" t="s">
        <v>2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8">
        <v>0.0</v>
      </c>
      <c r="M16" s="8">
        <v>0.0</v>
      </c>
      <c r="N16" s="9">
        <v>0.0</v>
      </c>
      <c r="O16" s="7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B17" s="6" t="s">
        <v>3</v>
      </c>
      <c r="C17" s="10">
        <f t="shared" ref="C17:I17" si="2">C5</f>
        <v>0</v>
      </c>
      <c r="D17" s="10">
        <f t="shared" si="2"/>
        <v>19071.5</v>
      </c>
      <c r="E17" s="12">
        <f t="shared" si="2"/>
        <v>20000</v>
      </c>
      <c r="F17" s="12">
        <f t="shared" si="2"/>
        <v>20000</v>
      </c>
      <c r="G17" s="12">
        <f t="shared" si="2"/>
        <v>20234.32</v>
      </c>
      <c r="H17" s="12">
        <f t="shared" si="2"/>
        <v>20470.5</v>
      </c>
      <c r="I17" s="12">
        <f t="shared" si="2"/>
        <v>20470.5</v>
      </c>
      <c r="J17" s="11">
        <v>20825.65</v>
      </c>
      <c r="K17" s="11">
        <v>20945.12</v>
      </c>
      <c r="L17" s="8">
        <v>21064.55</v>
      </c>
      <c r="M17" s="8">
        <v>21184.26</v>
      </c>
      <c r="N17" s="9">
        <v>21304.25</v>
      </c>
      <c r="O17" s="7">
        <v>21424.52</v>
      </c>
      <c r="P17" s="8">
        <v>21545.07</v>
      </c>
      <c r="Q17" s="8">
        <v>21665.9</v>
      </c>
      <c r="R17" s="8">
        <v>21787.02</v>
      </c>
      <c r="S17" s="8">
        <v>21908.41</v>
      </c>
      <c r="T17" s="8">
        <v>22030.09</v>
      </c>
      <c r="U17" s="8">
        <v>22152.05</v>
      </c>
      <c r="V17" s="8">
        <v>22274.29</v>
      </c>
      <c r="W17" s="8">
        <v>22396.82</v>
      </c>
      <c r="X17" s="8">
        <v>22519.64</v>
      </c>
      <c r="Y17" s="8">
        <v>22642.74</v>
      </c>
      <c r="Z17" s="8">
        <v>22766.12</v>
      </c>
      <c r="AA17" s="8">
        <v>22883.55</v>
      </c>
      <c r="AB17" s="8">
        <v>23001.3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>
      <c r="B18" s="6" t="s">
        <v>4</v>
      </c>
      <c r="C18" s="10">
        <f t="shared" ref="C18:I18" si="3">C6</f>
        <v>0</v>
      </c>
      <c r="D18" s="10">
        <f t="shared" si="3"/>
        <v>0</v>
      </c>
      <c r="E18" s="12">
        <f t="shared" si="3"/>
        <v>0</v>
      </c>
      <c r="F18" s="12">
        <f t="shared" si="3"/>
        <v>8000</v>
      </c>
      <c r="G18" s="12">
        <f t="shared" si="3"/>
        <v>8000</v>
      </c>
      <c r="H18" s="12">
        <f t="shared" si="3"/>
        <v>7680</v>
      </c>
      <c r="I18" s="12">
        <f t="shared" si="3"/>
        <v>6363.5</v>
      </c>
      <c r="J18" s="11">
        <v>15919.5</v>
      </c>
      <c r="K18" s="11">
        <v>16523.85</v>
      </c>
      <c r="L18" s="8">
        <v>16160.85</v>
      </c>
      <c r="M18" s="8">
        <v>16790.39</v>
      </c>
      <c r="N18" s="9">
        <v>17219.355</v>
      </c>
      <c r="O18" s="7">
        <v>17738.5</v>
      </c>
      <c r="P18" s="8">
        <v>18529.97</v>
      </c>
      <c r="Q18" s="8">
        <v>18926.37</v>
      </c>
      <c r="R18" s="8">
        <v>18845.2</v>
      </c>
      <c r="S18" s="8">
        <v>19136.19</v>
      </c>
      <c r="T18" s="8">
        <v>19756.99</v>
      </c>
      <c r="U18" s="8">
        <v>20312.42</v>
      </c>
      <c r="V18" s="8">
        <v>20757.92</v>
      </c>
      <c r="W18" s="8">
        <v>22318.76</v>
      </c>
      <c r="X18" s="8">
        <v>23239.07</v>
      </c>
      <c r="Y18" s="8">
        <v>26936.07</v>
      </c>
      <c r="Z18" s="8">
        <v>27504.73</v>
      </c>
      <c r="AA18" s="8">
        <v>28384.22</v>
      </c>
      <c r="AB18" s="8">
        <v>27559.88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>
      <c r="B19" s="6" t="s">
        <v>5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8">
        <v>0.0</v>
      </c>
      <c r="M19" s="8">
        <v>0.0</v>
      </c>
      <c r="N19" s="9">
        <v>0.0</v>
      </c>
      <c r="O19" s="7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3221.28</v>
      </c>
      <c r="AA19" s="8">
        <v>3021.25</v>
      </c>
      <c r="AB19" s="8">
        <v>3009.51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>
      <c r="B20" s="6" t="s">
        <v>6</v>
      </c>
      <c r="C20" s="11">
        <v>0.0</v>
      </c>
      <c r="D20" s="11">
        <v>0.0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8">
        <v>0.0</v>
      </c>
      <c r="M20" s="8">
        <v>0.0</v>
      </c>
      <c r="N20" s="9">
        <v>0.0</v>
      </c>
      <c r="O20" s="7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>
      <c r="B21" s="6" t="s">
        <v>7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8">
        <v>0.0</v>
      </c>
      <c r="M21" s="8">
        <v>0.0</v>
      </c>
      <c r="N21" s="9">
        <v>0.0</v>
      </c>
      <c r="O21" s="7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>
      <c r="B22" s="6" t="s">
        <v>8</v>
      </c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8">
        <v>0.0</v>
      </c>
      <c r="M22" s="8">
        <v>0.0</v>
      </c>
      <c r="N22" s="9">
        <v>0.0</v>
      </c>
      <c r="O22" s="7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>
      <c r="B23" s="6" t="s">
        <v>9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8828.19</v>
      </c>
      <c r="K23" s="11">
        <v>9771.11</v>
      </c>
      <c r="L23" s="8">
        <v>12017.24</v>
      </c>
      <c r="M23" s="8">
        <v>12634.0</v>
      </c>
      <c r="N23" s="9">
        <v>14019.125</v>
      </c>
      <c r="O23" s="7">
        <v>15689.96</v>
      </c>
      <c r="P23" s="8">
        <v>18831.03</v>
      </c>
      <c r="Q23" s="8">
        <v>19679.06</v>
      </c>
      <c r="R23" s="8">
        <v>21154.66</v>
      </c>
      <c r="S23" s="8">
        <v>20547.02</v>
      </c>
      <c r="T23" s="8">
        <v>19975.89</v>
      </c>
      <c r="U23" s="8">
        <v>21651.87</v>
      </c>
      <c r="V23" s="8">
        <v>22343.94</v>
      </c>
      <c r="W23" s="8">
        <v>23571.71</v>
      </c>
      <c r="X23" s="8">
        <v>24129.96</v>
      </c>
      <c r="Y23" s="8">
        <v>18273.84</v>
      </c>
      <c r="Z23" s="8">
        <v>16241.81</v>
      </c>
      <c r="AA23" s="8">
        <v>16408.06</v>
      </c>
      <c r="AB23" s="8">
        <v>21501.92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>
      <c r="B24" s="6" t="s">
        <v>10</v>
      </c>
      <c r="C24" s="11">
        <f t="shared" ref="C24:L24" si="4">SUM(C16:C23)</f>
        <v>0</v>
      </c>
      <c r="D24" s="11">
        <f t="shared" si="4"/>
        <v>19071.5</v>
      </c>
      <c r="E24" s="11">
        <f t="shared" si="4"/>
        <v>20000</v>
      </c>
      <c r="F24" s="11">
        <f t="shared" si="4"/>
        <v>28000</v>
      </c>
      <c r="G24" s="11">
        <f t="shared" si="4"/>
        <v>28234.32</v>
      </c>
      <c r="H24" s="11">
        <f t="shared" si="4"/>
        <v>28150.5</v>
      </c>
      <c r="I24" s="11">
        <f t="shared" si="4"/>
        <v>26834</v>
      </c>
      <c r="J24" s="11">
        <f t="shared" si="4"/>
        <v>45573.34</v>
      </c>
      <c r="K24" s="11">
        <f t="shared" si="4"/>
        <v>47240.08</v>
      </c>
      <c r="L24" s="11">
        <f t="shared" si="4"/>
        <v>49242.64</v>
      </c>
      <c r="M24" s="8">
        <v>50608.65</v>
      </c>
      <c r="N24" s="9">
        <v>52542.729999999996</v>
      </c>
      <c r="O24" s="7">
        <v>54852.97</v>
      </c>
      <c r="P24" s="8">
        <v>58906.07</v>
      </c>
      <c r="Q24" s="8">
        <v>60271.33</v>
      </c>
      <c r="R24" s="8">
        <v>61786.88</v>
      </c>
      <c r="S24" s="8">
        <v>61591.62</v>
      </c>
      <c r="T24" s="8">
        <v>61762.96</v>
      </c>
      <c r="U24" s="8">
        <v>64116.34</v>
      </c>
      <c r="V24" s="8">
        <v>65376.15</v>
      </c>
      <c r="W24" s="8">
        <v>68287.29</v>
      </c>
      <c r="X24" s="8">
        <v>69888.67</v>
      </c>
      <c r="Y24" s="8">
        <v>67852.65</v>
      </c>
      <c r="Z24" s="8">
        <v>69733.94</v>
      </c>
      <c r="AA24" s="8">
        <v>70697.07</v>
      </c>
      <c r="AB24" s="8">
        <v>75072.61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6">
      <c r="B26" s="1" t="s">
        <v>12</v>
      </c>
    </row>
    <row r="27">
      <c r="C27" s="3">
        <v>44531.0</v>
      </c>
      <c r="D27" s="3">
        <v>45200.0</v>
      </c>
      <c r="E27" s="4">
        <v>45444.0</v>
      </c>
      <c r="F27" s="5">
        <v>45510.0</v>
      </c>
      <c r="G27" s="5">
        <v>45538.0</v>
      </c>
      <c r="H27" s="5">
        <v>45573.0</v>
      </c>
      <c r="I27" s="5">
        <v>45630.0</v>
      </c>
      <c r="J27" s="3">
        <v>45663.0</v>
      </c>
      <c r="K27" s="3">
        <v>45694.0</v>
      </c>
      <c r="L27" s="13">
        <f t="shared" ref="L27:AB27" si="5">L15</f>
        <v>45722</v>
      </c>
      <c r="M27" s="13">
        <f t="shared" si="5"/>
        <v>45760</v>
      </c>
      <c r="N27" s="13">
        <f t="shared" si="5"/>
        <v>45782</v>
      </c>
      <c r="O27" s="13">
        <f t="shared" si="5"/>
        <v>45817</v>
      </c>
      <c r="P27" s="13">
        <f t="shared" si="5"/>
        <v>45843</v>
      </c>
      <c r="Q27" s="13">
        <f t="shared" si="5"/>
        <v>45875</v>
      </c>
      <c r="R27" s="13">
        <f t="shared" si="5"/>
        <v>45905</v>
      </c>
      <c r="S27" s="13">
        <f t="shared" si="5"/>
        <v>45942</v>
      </c>
      <c r="T27" s="13">
        <f t="shared" si="5"/>
        <v>45968</v>
      </c>
      <c r="U27" s="13">
        <f t="shared" si="5"/>
        <v>45998</v>
      </c>
      <c r="V27" s="13">
        <f t="shared" si="5"/>
        <v>46034</v>
      </c>
      <c r="W27" s="13">
        <f t="shared" si="5"/>
        <v>46064</v>
      </c>
      <c r="X27" s="13">
        <f t="shared" si="5"/>
        <v>46093</v>
      </c>
      <c r="Y27" s="13">
        <f t="shared" si="5"/>
        <v>46118</v>
      </c>
      <c r="Z27" s="13">
        <f t="shared" si="5"/>
        <v>46153</v>
      </c>
      <c r="AA27" s="13">
        <f t="shared" si="5"/>
        <v>46180</v>
      </c>
      <c r="AB27" s="13">
        <f t="shared" si="5"/>
        <v>46208</v>
      </c>
    </row>
    <row r="28">
      <c r="B28" s="6" t="s">
        <v>2</v>
      </c>
      <c r="C28" s="12">
        <f t="shared" ref="C28:AB28" si="6">C16+C4</f>
        <v>15000</v>
      </c>
      <c r="D28" s="12">
        <f t="shared" si="6"/>
        <v>28843</v>
      </c>
      <c r="E28" s="12">
        <f t="shared" si="6"/>
        <v>31007.45</v>
      </c>
      <c r="F28" s="12">
        <f t="shared" si="6"/>
        <v>31525.18</v>
      </c>
      <c r="G28" s="12">
        <f t="shared" si="6"/>
        <v>31785.41</v>
      </c>
      <c r="H28" s="12">
        <f t="shared" si="6"/>
        <v>32046.55</v>
      </c>
      <c r="I28" s="12">
        <f t="shared" si="6"/>
        <v>32608.74</v>
      </c>
      <c r="J28" s="12">
        <f t="shared" si="6"/>
        <v>34313.56</v>
      </c>
      <c r="K28" s="12">
        <f t="shared" si="6"/>
        <v>34619.23</v>
      </c>
      <c r="L28" s="12">
        <f t="shared" si="6"/>
        <v>34925.74</v>
      </c>
      <c r="M28" s="12">
        <f t="shared" si="6"/>
        <v>35233.1</v>
      </c>
      <c r="N28" s="10">
        <f t="shared" si="6"/>
        <v>35541.31</v>
      </c>
      <c r="O28" s="10">
        <f t="shared" si="6"/>
        <v>35850.37</v>
      </c>
      <c r="P28" s="12">
        <f t="shared" si="6"/>
        <v>36160.28</v>
      </c>
      <c r="Q28" s="12">
        <f t="shared" si="6"/>
        <v>36471.05</v>
      </c>
      <c r="R28" s="12">
        <f t="shared" si="6"/>
        <v>36782.68</v>
      </c>
      <c r="S28" s="12">
        <f t="shared" si="6"/>
        <v>37095.17</v>
      </c>
      <c r="T28" s="12">
        <f t="shared" si="6"/>
        <v>37408.52</v>
      </c>
      <c r="U28" s="12">
        <f t="shared" si="6"/>
        <v>37768.61</v>
      </c>
      <c r="V28" s="12">
        <f t="shared" si="6"/>
        <v>38129.38</v>
      </c>
      <c r="W28" s="12">
        <f t="shared" si="6"/>
        <v>38490.83</v>
      </c>
      <c r="X28" s="12">
        <f t="shared" si="6"/>
        <v>48852.96</v>
      </c>
      <c r="Y28" s="12">
        <f t="shared" si="6"/>
        <v>49215.78</v>
      </c>
      <c r="Z28" s="12">
        <f t="shared" si="6"/>
        <v>49579.28</v>
      </c>
      <c r="AA28" s="12">
        <f t="shared" si="6"/>
        <v>39943.47</v>
      </c>
      <c r="AB28" s="12">
        <f t="shared" si="6"/>
        <v>40308.34</v>
      </c>
    </row>
    <row r="29">
      <c r="B29" s="6" t="s">
        <v>3</v>
      </c>
      <c r="C29" s="10">
        <f t="shared" ref="C29:AB29" si="7">C17+C5</f>
        <v>0</v>
      </c>
      <c r="D29" s="10">
        <f t="shared" si="7"/>
        <v>38143</v>
      </c>
      <c r="E29" s="12">
        <f t="shared" si="7"/>
        <v>40000</v>
      </c>
      <c r="F29" s="12">
        <f t="shared" si="7"/>
        <v>40000</v>
      </c>
      <c r="G29" s="12">
        <f t="shared" si="7"/>
        <v>40468.64</v>
      </c>
      <c r="H29" s="12">
        <f t="shared" si="7"/>
        <v>40941</v>
      </c>
      <c r="I29" s="12">
        <f t="shared" si="7"/>
        <v>40941</v>
      </c>
      <c r="J29" s="12">
        <f t="shared" si="7"/>
        <v>41651.3</v>
      </c>
      <c r="K29" s="12">
        <f t="shared" si="7"/>
        <v>41890.24</v>
      </c>
      <c r="L29" s="12">
        <f t="shared" si="7"/>
        <v>42129.1</v>
      </c>
      <c r="M29" s="12">
        <f t="shared" si="7"/>
        <v>42368.52</v>
      </c>
      <c r="N29" s="10">
        <f t="shared" si="7"/>
        <v>42608.5</v>
      </c>
      <c r="O29" s="10">
        <f t="shared" si="7"/>
        <v>42849.04</v>
      </c>
      <c r="P29" s="12">
        <f t="shared" si="7"/>
        <v>43090.14</v>
      </c>
      <c r="Q29" s="12">
        <f t="shared" si="7"/>
        <v>43331.8</v>
      </c>
      <c r="R29" s="12">
        <f t="shared" si="7"/>
        <v>43574.04</v>
      </c>
      <c r="S29" s="12">
        <f t="shared" si="7"/>
        <v>43816.82</v>
      </c>
      <c r="T29" s="12">
        <f t="shared" si="7"/>
        <v>44060.18</v>
      </c>
      <c r="U29" s="12">
        <f t="shared" si="7"/>
        <v>44304.1</v>
      </c>
      <c r="V29" s="12">
        <f t="shared" si="7"/>
        <v>44548.58</v>
      </c>
      <c r="W29" s="12">
        <f t="shared" si="7"/>
        <v>44793.64</v>
      </c>
      <c r="X29" s="12">
        <f t="shared" si="7"/>
        <v>45039.28</v>
      </c>
      <c r="Y29" s="12">
        <f t="shared" si="7"/>
        <v>45285.48</v>
      </c>
      <c r="Z29" s="12">
        <f t="shared" si="7"/>
        <v>45532.24</v>
      </c>
      <c r="AA29" s="12">
        <f t="shared" si="7"/>
        <v>45767.1</v>
      </c>
      <c r="AB29" s="12">
        <f t="shared" si="7"/>
        <v>46002.6</v>
      </c>
    </row>
    <row r="30">
      <c r="B30" s="6" t="s">
        <v>4</v>
      </c>
      <c r="C30" s="10">
        <f t="shared" ref="C30:AB30" si="8">C18+C6</f>
        <v>0</v>
      </c>
      <c r="D30" s="10">
        <f t="shared" si="8"/>
        <v>0</v>
      </c>
      <c r="E30" s="12">
        <f t="shared" si="8"/>
        <v>0</v>
      </c>
      <c r="F30" s="12">
        <f t="shared" si="8"/>
        <v>16000</v>
      </c>
      <c r="G30" s="12">
        <f t="shared" si="8"/>
        <v>16000</v>
      </c>
      <c r="H30" s="12">
        <f t="shared" si="8"/>
        <v>15360</v>
      </c>
      <c r="I30" s="12">
        <f t="shared" si="8"/>
        <v>12727</v>
      </c>
      <c r="J30" s="12">
        <f t="shared" si="8"/>
        <v>31839</v>
      </c>
      <c r="K30" s="12">
        <f t="shared" si="8"/>
        <v>33047.7</v>
      </c>
      <c r="L30" s="12">
        <f t="shared" si="8"/>
        <v>32321.7</v>
      </c>
      <c r="M30" s="12">
        <f t="shared" si="8"/>
        <v>33580.78</v>
      </c>
      <c r="N30" s="10">
        <f t="shared" si="8"/>
        <v>34438.71</v>
      </c>
      <c r="O30" s="10">
        <f t="shared" si="8"/>
        <v>35477</v>
      </c>
      <c r="P30" s="12">
        <f t="shared" si="8"/>
        <v>36809.94</v>
      </c>
      <c r="Q30" s="12">
        <f t="shared" si="8"/>
        <v>37852.74</v>
      </c>
      <c r="R30" s="12">
        <f t="shared" si="8"/>
        <v>37690.4</v>
      </c>
      <c r="S30" s="12">
        <f t="shared" si="8"/>
        <v>38272.38</v>
      </c>
      <c r="T30" s="12">
        <f t="shared" si="8"/>
        <v>39513.98</v>
      </c>
      <c r="U30" s="12">
        <f t="shared" si="8"/>
        <v>40624.84</v>
      </c>
      <c r="V30" s="12">
        <f t="shared" si="8"/>
        <v>41515.84</v>
      </c>
      <c r="W30" s="12">
        <f t="shared" si="8"/>
        <v>44637.52</v>
      </c>
      <c r="X30" s="12">
        <f t="shared" si="8"/>
        <v>46478.14</v>
      </c>
      <c r="Y30" s="12">
        <f t="shared" si="8"/>
        <v>53872.14</v>
      </c>
      <c r="Z30" s="12">
        <f t="shared" si="8"/>
        <v>55009.46</v>
      </c>
      <c r="AA30" s="12">
        <f t="shared" si="8"/>
        <v>56768.44</v>
      </c>
      <c r="AB30" s="12">
        <f t="shared" si="8"/>
        <v>55119.76</v>
      </c>
    </row>
    <row r="31">
      <c r="B31" s="6" t="s">
        <v>5</v>
      </c>
      <c r="C31" s="12">
        <f t="shared" ref="C31:AB31" si="9">C19+C7</f>
        <v>17010</v>
      </c>
      <c r="D31" s="12">
        <f t="shared" si="9"/>
        <v>23252</v>
      </c>
      <c r="E31" s="12">
        <f t="shared" si="9"/>
        <v>23251.97</v>
      </c>
      <c r="F31" s="12">
        <f t="shared" si="9"/>
        <v>21074.69</v>
      </c>
      <c r="G31" s="12">
        <f t="shared" si="9"/>
        <v>22784.73</v>
      </c>
      <c r="H31" s="12">
        <f t="shared" si="9"/>
        <v>23391.62</v>
      </c>
      <c r="I31" s="12">
        <f t="shared" si="9"/>
        <v>25240.08</v>
      </c>
      <c r="J31" s="12">
        <f t="shared" si="9"/>
        <v>29592.03</v>
      </c>
      <c r="K31" s="12">
        <f t="shared" si="9"/>
        <v>31497.21</v>
      </c>
      <c r="L31" s="12">
        <f t="shared" si="9"/>
        <v>32973.37</v>
      </c>
      <c r="M31" s="12">
        <f t="shared" si="9"/>
        <v>28946.33</v>
      </c>
      <c r="N31" s="10">
        <f t="shared" si="9"/>
        <v>32000.9</v>
      </c>
      <c r="O31" s="10">
        <f t="shared" si="9"/>
        <v>35435.01</v>
      </c>
      <c r="P31" s="12">
        <f t="shared" si="9"/>
        <v>29087.09</v>
      </c>
      <c r="Q31" s="12">
        <f t="shared" si="9"/>
        <v>31861.69</v>
      </c>
      <c r="R31" s="12">
        <f t="shared" si="9"/>
        <v>33006.82</v>
      </c>
      <c r="S31" s="12">
        <f t="shared" si="9"/>
        <v>27612.33</v>
      </c>
      <c r="T31" s="12">
        <f t="shared" si="9"/>
        <v>28798.7</v>
      </c>
      <c r="U31" s="12">
        <f t="shared" si="9"/>
        <v>30758.73</v>
      </c>
      <c r="V31" s="12">
        <f t="shared" si="9"/>
        <v>31261.56</v>
      </c>
      <c r="W31" s="12">
        <f t="shared" si="9"/>
        <v>30416.32</v>
      </c>
      <c r="X31" s="12">
        <f t="shared" si="9"/>
        <v>30416.32</v>
      </c>
      <c r="Y31" s="12">
        <f t="shared" si="9"/>
        <v>30178.51</v>
      </c>
      <c r="Z31" s="12">
        <f t="shared" si="9"/>
        <v>34076.78</v>
      </c>
      <c r="AA31" s="12">
        <f t="shared" si="9"/>
        <v>35240.34</v>
      </c>
      <c r="AB31" s="12">
        <f t="shared" si="9"/>
        <v>39671.25</v>
      </c>
    </row>
    <row r="32">
      <c r="B32" s="6" t="s">
        <v>6</v>
      </c>
      <c r="C32" s="12">
        <f t="shared" ref="C32:AB32" si="10">C20+C8</f>
        <v>3865.99</v>
      </c>
      <c r="D32" s="12">
        <f t="shared" si="10"/>
        <v>4773</v>
      </c>
      <c r="E32" s="12">
        <f t="shared" si="10"/>
        <v>7728</v>
      </c>
      <c r="F32" s="12">
        <f t="shared" si="10"/>
        <v>7380.47</v>
      </c>
      <c r="G32" s="12">
        <f t="shared" si="10"/>
        <v>8001.98</v>
      </c>
      <c r="H32" s="12">
        <f t="shared" si="10"/>
        <v>8042.52</v>
      </c>
      <c r="I32" s="12">
        <f t="shared" si="10"/>
        <v>8515.91</v>
      </c>
      <c r="J32" s="12">
        <f t="shared" si="10"/>
        <v>8316.19</v>
      </c>
      <c r="K32" s="12">
        <f t="shared" si="10"/>
        <v>8456.98</v>
      </c>
      <c r="L32" s="12">
        <f t="shared" si="10"/>
        <v>8145.08</v>
      </c>
      <c r="M32" s="12">
        <f t="shared" si="10"/>
        <v>7442.64</v>
      </c>
      <c r="N32" s="10">
        <f t="shared" si="10"/>
        <v>7892</v>
      </c>
      <c r="O32" s="10">
        <f t="shared" si="10"/>
        <v>8311.38</v>
      </c>
      <c r="P32" s="12">
        <f t="shared" si="10"/>
        <v>8666.3</v>
      </c>
      <c r="Q32" s="12">
        <f t="shared" si="10"/>
        <v>8673.43</v>
      </c>
      <c r="R32" s="12">
        <f t="shared" si="10"/>
        <v>8928.38</v>
      </c>
      <c r="S32" s="12">
        <f t="shared" si="10"/>
        <v>8969.58</v>
      </c>
      <c r="T32" s="12">
        <f t="shared" si="10"/>
        <v>9179.7</v>
      </c>
      <c r="U32" s="12">
        <f t="shared" si="10"/>
        <v>9355.62</v>
      </c>
      <c r="V32" s="12">
        <f t="shared" si="10"/>
        <v>10969.93</v>
      </c>
      <c r="W32" s="12">
        <f t="shared" si="10"/>
        <v>10737.67</v>
      </c>
      <c r="X32" s="12">
        <f t="shared" si="10"/>
        <v>10684.41</v>
      </c>
      <c r="Y32" s="12">
        <f t="shared" si="10"/>
        <v>10364.64</v>
      </c>
      <c r="Z32" s="12">
        <f t="shared" si="10"/>
        <v>11494.69</v>
      </c>
      <c r="AA32" s="12">
        <f t="shared" si="10"/>
        <v>11938.75</v>
      </c>
      <c r="AB32" s="12">
        <f t="shared" si="10"/>
        <v>11975.7</v>
      </c>
    </row>
    <row r="33">
      <c r="B33" s="6" t="s">
        <v>7</v>
      </c>
      <c r="C33" s="12">
        <f t="shared" ref="C33:AB33" si="11">C21+C9</f>
        <v>2879.05</v>
      </c>
      <c r="D33" s="12">
        <f t="shared" si="11"/>
        <v>5800</v>
      </c>
      <c r="E33" s="12">
        <f t="shared" si="11"/>
        <v>9992</v>
      </c>
      <c r="F33" s="12">
        <f t="shared" si="11"/>
        <v>9938.93</v>
      </c>
      <c r="G33" s="12">
        <f t="shared" si="11"/>
        <v>10540.65</v>
      </c>
      <c r="H33" s="12">
        <f t="shared" si="11"/>
        <v>10700.9</v>
      </c>
      <c r="I33" s="12">
        <f t="shared" si="11"/>
        <v>0</v>
      </c>
      <c r="J33" s="12">
        <f t="shared" si="11"/>
        <v>0</v>
      </c>
      <c r="K33" s="12">
        <f t="shared" si="11"/>
        <v>0</v>
      </c>
      <c r="L33" s="12">
        <f t="shared" si="11"/>
        <v>0</v>
      </c>
      <c r="M33" s="12">
        <f t="shared" si="11"/>
        <v>0</v>
      </c>
      <c r="N33" s="10">
        <f t="shared" si="11"/>
        <v>0</v>
      </c>
      <c r="O33" s="10">
        <f t="shared" si="11"/>
        <v>0</v>
      </c>
      <c r="P33" s="12">
        <f t="shared" si="11"/>
        <v>0</v>
      </c>
      <c r="Q33" s="12">
        <f t="shared" si="11"/>
        <v>0</v>
      </c>
      <c r="R33" s="12">
        <f t="shared" si="11"/>
        <v>0</v>
      </c>
      <c r="S33" s="12">
        <f t="shared" si="11"/>
        <v>0</v>
      </c>
      <c r="T33" s="12">
        <f t="shared" si="11"/>
        <v>0</v>
      </c>
      <c r="U33" s="12">
        <f t="shared" si="11"/>
        <v>0</v>
      </c>
      <c r="V33" s="12">
        <f t="shared" si="11"/>
        <v>0</v>
      </c>
      <c r="W33" s="12">
        <f t="shared" si="11"/>
        <v>0</v>
      </c>
      <c r="X33" s="12">
        <f t="shared" si="11"/>
        <v>0</v>
      </c>
      <c r="Y33" s="12">
        <f t="shared" si="11"/>
        <v>0</v>
      </c>
      <c r="Z33" s="12">
        <f t="shared" si="11"/>
        <v>0</v>
      </c>
      <c r="AA33" s="12">
        <f t="shared" si="11"/>
        <v>0</v>
      </c>
      <c r="AB33" s="12">
        <f t="shared" si="11"/>
        <v>0</v>
      </c>
    </row>
    <row r="34">
      <c r="B34" s="6" t="s">
        <v>8</v>
      </c>
      <c r="C34" s="12">
        <f t="shared" ref="C34:AB34" si="12">C22+C10</f>
        <v>4400</v>
      </c>
      <c r="D34" s="12">
        <f t="shared" si="12"/>
        <v>630</v>
      </c>
      <c r="E34" s="12">
        <f t="shared" si="12"/>
        <v>1370</v>
      </c>
      <c r="F34" s="12">
        <f t="shared" si="12"/>
        <v>1370</v>
      </c>
      <c r="G34" s="12">
        <f t="shared" si="12"/>
        <v>1140.04</v>
      </c>
      <c r="H34" s="12">
        <f t="shared" si="12"/>
        <v>1315.78</v>
      </c>
      <c r="I34" s="12">
        <f t="shared" si="12"/>
        <v>2200</v>
      </c>
      <c r="J34" s="12">
        <f t="shared" si="12"/>
        <v>2200</v>
      </c>
      <c r="K34" s="12">
        <f t="shared" si="12"/>
        <v>1982</v>
      </c>
      <c r="L34" s="12">
        <f t="shared" si="12"/>
        <v>1935.08</v>
      </c>
      <c r="M34" s="12">
        <f t="shared" si="12"/>
        <v>1777</v>
      </c>
      <c r="N34" s="10">
        <f t="shared" si="12"/>
        <v>1935.76</v>
      </c>
      <c r="O34" s="10">
        <f t="shared" si="12"/>
        <v>2184.9</v>
      </c>
      <c r="P34" s="12">
        <f t="shared" si="12"/>
        <v>2184.9</v>
      </c>
      <c r="Q34" s="12">
        <f t="shared" si="12"/>
        <v>2320.48</v>
      </c>
      <c r="R34" s="12">
        <f t="shared" si="12"/>
        <v>2336.04</v>
      </c>
      <c r="S34" s="12">
        <f t="shared" si="12"/>
        <v>2336.04</v>
      </c>
      <c r="T34" s="12">
        <f t="shared" si="12"/>
        <v>2152.21</v>
      </c>
      <c r="U34" s="12">
        <f t="shared" si="12"/>
        <v>1636.42</v>
      </c>
      <c r="V34" s="12">
        <f t="shared" si="12"/>
        <v>1636.42</v>
      </c>
      <c r="W34" s="12">
        <f t="shared" si="12"/>
        <v>1156.47</v>
      </c>
      <c r="X34" s="12">
        <f t="shared" si="12"/>
        <v>1256.13</v>
      </c>
      <c r="Y34" s="12">
        <f t="shared" si="12"/>
        <v>1256.13</v>
      </c>
      <c r="Z34" s="12">
        <f t="shared" si="12"/>
        <v>1256.13</v>
      </c>
      <c r="AA34" s="12">
        <f t="shared" si="12"/>
        <v>1405.99</v>
      </c>
      <c r="AB34" s="12">
        <f t="shared" si="12"/>
        <v>1180.94</v>
      </c>
    </row>
    <row r="35">
      <c r="B35" s="6" t="s">
        <v>9</v>
      </c>
      <c r="C35" s="12">
        <f t="shared" ref="C35:AB35" si="13">C23+C11</f>
        <v>37320</v>
      </c>
      <c r="D35" s="12">
        <f t="shared" si="13"/>
        <v>8527</v>
      </c>
      <c r="E35" s="12">
        <f t="shared" si="13"/>
        <v>20112.29</v>
      </c>
      <c r="F35" s="12">
        <f t="shared" si="13"/>
        <v>12035.43</v>
      </c>
      <c r="G35" s="12">
        <f t="shared" si="13"/>
        <v>14556.22</v>
      </c>
      <c r="H35" s="12">
        <f t="shared" si="13"/>
        <v>17074.26</v>
      </c>
      <c r="I35" s="12">
        <f t="shared" si="13"/>
        <v>31141.53</v>
      </c>
      <c r="J35" s="12">
        <f t="shared" si="13"/>
        <v>18286.55</v>
      </c>
      <c r="K35" s="12">
        <f t="shared" si="13"/>
        <v>20542.26</v>
      </c>
      <c r="L35" s="12">
        <f t="shared" si="13"/>
        <v>23932.13</v>
      </c>
      <c r="M35" s="12">
        <f t="shared" si="13"/>
        <v>23840.19</v>
      </c>
      <c r="N35" s="10">
        <f t="shared" si="13"/>
        <v>27696.97</v>
      </c>
      <c r="O35" s="10">
        <f t="shared" si="13"/>
        <v>31469.47</v>
      </c>
      <c r="P35" s="12">
        <f t="shared" si="13"/>
        <v>44703.37</v>
      </c>
      <c r="Q35" s="12">
        <f t="shared" si="13"/>
        <v>47867.97</v>
      </c>
      <c r="R35" s="12">
        <f t="shared" si="13"/>
        <v>50603.32</v>
      </c>
      <c r="S35" s="12">
        <f t="shared" si="13"/>
        <v>53763.17</v>
      </c>
      <c r="T35" s="12">
        <f t="shared" si="13"/>
        <v>54076.34</v>
      </c>
      <c r="U35" s="12">
        <f t="shared" si="13"/>
        <v>54297.66</v>
      </c>
      <c r="V35" s="12">
        <f t="shared" si="13"/>
        <v>49717.89</v>
      </c>
      <c r="W35" s="12">
        <f t="shared" si="13"/>
        <v>49317.49</v>
      </c>
      <c r="X35" s="12">
        <f t="shared" si="13"/>
        <v>38707.67</v>
      </c>
      <c r="Y35" s="12">
        <f t="shared" si="13"/>
        <v>33631.27</v>
      </c>
      <c r="Z35" s="12">
        <f t="shared" si="13"/>
        <v>37663.62</v>
      </c>
      <c r="AA35" s="12">
        <f t="shared" si="13"/>
        <v>48010.01</v>
      </c>
      <c r="AB35" s="12">
        <f t="shared" si="13"/>
        <v>52262.94</v>
      </c>
    </row>
    <row r="36">
      <c r="B36" s="14" t="s">
        <v>10</v>
      </c>
      <c r="C36" s="15">
        <f t="shared" ref="C36:AB36" si="14">C24+C12</f>
        <v>80475.04</v>
      </c>
      <c r="D36" s="15">
        <f t="shared" si="14"/>
        <v>109968</v>
      </c>
      <c r="E36" s="15">
        <f t="shared" si="14"/>
        <v>133461.71</v>
      </c>
      <c r="F36" s="15">
        <f t="shared" si="14"/>
        <v>139324.7</v>
      </c>
      <c r="G36" s="15">
        <f t="shared" si="14"/>
        <v>145277.66</v>
      </c>
      <c r="H36" s="15">
        <f t="shared" si="14"/>
        <v>148872.63</v>
      </c>
      <c r="I36" s="15">
        <f t="shared" si="14"/>
        <v>153374.26</v>
      </c>
      <c r="J36" s="15">
        <f t="shared" si="14"/>
        <v>166198.63</v>
      </c>
      <c r="K36" s="15">
        <f t="shared" si="14"/>
        <v>172035.62</v>
      </c>
      <c r="L36" s="15">
        <f t="shared" si="14"/>
        <v>176362.2</v>
      </c>
      <c r="M36" s="15">
        <f t="shared" si="14"/>
        <v>173346.64</v>
      </c>
      <c r="N36" s="16">
        <f t="shared" si="14"/>
        <v>182114.15</v>
      </c>
      <c r="O36" s="16">
        <f t="shared" si="14"/>
        <v>191268.09</v>
      </c>
      <c r="P36" s="15">
        <f t="shared" si="14"/>
        <v>200702.02</v>
      </c>
      <c r="Q36" s="15">
        <f t="shared" si="14"/>
        <v>208379.16</v>
      </c>
      <c r="R36" s="15">
        <f t="shared" si="14"/>
        <v>212906.12</v>
      </c>
      <c r="S36" s="15">
        <f t="shared" si="14"/>
        <v>211865.49</v>
      </c>
      <c r="T36" s="15">
        <f t="shared" si="14"/>
        <v>215189.61</v>
      </c>
      <c r="U36" s="15">
        <f t="shared" si="14"/>
        <v>218745.98</v>
      </c>
      <c r="V36" s="15">
        <f t="shared" si="14"/>
        <v>217779.6</v>
      </c>
      <c r="W36" s="17">
        <f t="shared" si="14"/>
        <v>220195.01</v>
      </c>
      <c r="X36" s="17">
        <f t="shared" si="14"/>
        <v>221434.91</v>
      </c>
      <c r="Y36" s="17">
        <f t="shared" si="14"/>
        <v>223803.95</v>
      </c>
      <c r="Z36" s="17">
        <f t="shared" si="14"/>
        <v>234612.2</v>
      </c>
      <c r="AA36" s="17">
        <f t="shared" si="14"/>
        <v>236684.3</v>
      </c>
      <c r="AB36" s="17">
        <f t="shared" si="14"/>
        <v>246521.52</v>
      </c>
    </row>
    <row r="37">
      <c r="Q37" s="18">
        <f t="shared" ref="Q37:T37" si="15">Q36/F36-1</f>
        <v>0.4956368828</v>
      </c>
      <c r="R37" s="18">
        <f t="shared" si="15"/>
        <v>0.4655117655</v>
      </c>
      <c r="S37" s="18">
        <f t="shared" si="15"/>
        <v>0.4231325798</v>
      </c>
      <c r="T37" s="18">
        <f t="shared" si="15"/>
        <v>0.4030360114</v>
      </c>
      <c r="U37" s="18">
        <f t="shared" ref="U37:AB37" si="16">U36/I36-1</f>
        <v>0.4262235397</v>
      </c>
      <c r="V37" s="18">
        <f t="shared" si="16"/>
        <v>0.3103573718</v>
      </c>
      <c r="W37" s="18">
        <f t="shared" si="16"/>
        <v>0.2799384802</v>
      </c>
      <c r="X37" s="18">
        <f t="shared" si="16"/>
        <v>0.2555689938</v>
      </c>
      <c r="Y37" s="18">
        <f t="shared" si="16"/>
        <v>0.2910775196</v>
      </c>
      <c r="Z37" s="18">
        <f t="shared" si="16"/>
        <v>0.2882700219</v>
      </c>
      <c r="AA37" s="18">
        <f t="shared" si="16"/>
        <v>0.2374479193</v>
      </c>
      <c r="AB37" s="18">
        <f t="shared" si="16"/>
        <v>0.2282961577</v>
      </c>
    </row>
    <row r="38">
      <c r="V38" s="5"/>
    </row>
    <row r="41">
      <c r="C41" s="3">
        <v>44531.0</v>
      </c>
      <c r="D41" s="3">
        <f t="shared" ref="D41:AB41" si="17">D27</f>
        <v>45200</v>
      </c>
      <c r="E41" s="3">
        <f t="shared" si="17"/>
        <v>45444</v>
      </c>
      <c r="F41" s="3">
        <f t="shared" si="17"/>
        <v>45510</v>
      </c>
      <c r="G41" s="3">
        <f t="shared" si="17"/>
        <v>45538</v>
      </c>
      <c r="H41" s="3">
        <f t="shared" si="17"/>
        <v>45573</v>
      </c>
      <c r="I41" s="3">
        <f t="shared" si="17"/>
        <v>45630</v>
      </c>
      <c r="J41" s="3">
        <f t="shared" si="17"/>
        <v>45663</v>
      </c>
      <c r="K41" s="3">
        <f t="shared" si="17"/>
        <v>45694</v>
      </c>
      <c r="L41" s="3">
        <f t="shared" si="17"/>
        <v>45722</v>
      </c>
      <c r="M41" s="3">
        <f t="shared" si="17"/>
        <v>45760</v>
      </c>
      <c r="N41" s="3">
        <f t="shared" si="17"/>
        <v>45782</v>
      </c>
      <c r="O41" s="3">
        <f t="shared" si="17"/>
        <v>45817</v>
      </c>
      <c r="P41" s="3">
        <f t="shared" si="17"/>
        <v>45843</v>
      </c>
      <c r="Q41" s="3">
        <f t="shared" si="17"/>
        <v>45875</v>
      </c>
      <c r="R41" s="3">
        <f t="shared" si="17"/>
        <v>45905</v>
      </c>
      <c r="S41" s="3">
        <f t="shared" si="17"/>
        <v>45942</v>
      </c>
      <c r="T41" s="3">
        <f t="shared" si="17"/>
        <v>45968</v>
      </c>
      <c r="U41" s="3">
        <f t="shared" si="17"/>
        <v>45998</v>
      </c>
      <c r="V41" s="3">
        <f t="shared" si="17"/>
        <v>46034</v>
      </c>
      <c r="W41" s="3">
        <f t="shared" si="17"/>
        <v>46064</v>
      </c>
      <c r="X41" s="3">
        <f t="shared" si="17"/>
        <v>46093</v>
      </c>
      <c r="Y41" s="3">
        <f t="shared" si="17"/>
        <v>46118</v>
      </c>
      <c r="Z41" s="3">
        <f t="shared" si="17"/>
        <v>46153</v>
      </c>
      <c r="AA41" s="3">
        <f t="shared" si="17"/>
        <v>46180</v>
      </c>
      <c r="AB41" s="3">
        <f t="shared" si="17"/>
        <v>46208</v>
      </c>
    </row>
    <row r="42">
      <c r="B42" s="6" t="s">
        <v>2</v>
      </c>
      <c r="C42" s="19">
        <f t="shared" ref="C42:AB42" si="18">C28/C$36</f>
        <v>0.1863931972</v>
      </c>
      <c r="D42" s="19">
        <f t="shared" si="18"/>
        <v>0.2622853921</v>
      </c>
      <c r="E42" s="19">
        <f t="shared" si="18"/>
        <v>0.2323321798</v>
      </c>
      <c r="F42" s="19">
        <f t="shared" si="18"/>
        <v>0.2262712929</v>
      </c>
      <c r="G42" s="19">
        <f t="shared" si="18"/>
        <v>0.2187907625</v>
      </c>
      <c r="H42" s="19">
        <f t="shared" si="18"/>
        <v>0.2152615293</v>
      </c>
      <c r="I42" s="19">
        <f t="shared" si="18"/>
        <v>0.2126089476</v>
      </c>
      <c r="J42" s="19">
        <f t="shared" si="18"/>
        <v>0.2064611483</v>
      </c>
      <c r="K42" s="19">
        <f t="shared" si="18"/>
        <v>0.2012329191</v>
      </c>
      <c r="L42" s="19">
        <f t="shared" si="18"/>
        <v>0.1980341592</v>
      </c>
      <c r="M42" s="19">
        <f t="shared" si="18"/>
        <v>0.2032522811</v>
      </c>
      <c r="N42" s="19">
        <f t="shared" si="18"/>
        <v>0.1951595195</v>
      </c>
      <c r="O42" s="19">
        <f t="shared" si="18"/>
        <v>0.1874351859</v>
      </c>
      <c r="P42" s="19">
        <f t="shared" si="18"/>
        <v>0.1801689888</v>
      </c>
      <c r="Q42" s="19">
        <f t="shared" si="18"/>
        <v>0.1750225406</v>
      </c>
      <c r="R42" s="19">
        <f t="shared" si="18"/>
        <v>0.1727647848</v>
      </c>
      <c r="S42" s="19">
        <f t="shared" si="18"/>
        <v>0.1750883072</v>
      </c>
      <c r="T42" s="19">
        <f t="shared" si="18"/>
        <v>0.1738398057</v>
      </c>
      <c r="U42" s="19">
        <f t="shared" si="18"/>
        <v>0.1726596758</v>
      </c>
      <c r="V42" s="19">
        <f t="shared" si="18"/>
        <v>0.1750824228</v>
      </c>
      <c r="W42" s="19">
        <f t="shared" si="18"/>
        <v>0.1748033709</v>
      </c>
      <c r="X42" s="19">
        <f t="shared" si="18"/>
        <v>0.2206199555</v>
      </c>
      <c r="Y42" s="19">
        <f t="shared" si="18"/>
        <v>0.2199057702</v>
      </c>
      <c r="Z42" s="19">
        <f t="shared" si="18"/>
        <v>0.2113243898</v>
      </c>
      <c r="AA42" s="19">
        <f t="shared" si="18"/>
        <v>0.1687626513</v>
      </c>
      <c r="AB42" s="19">
        <f t="shared" si="18"/>
        <v>0.1635084028</v>
      </c>
    </row>
    <row r="43">
      <c r="B43" s="6" t="s">
        <v>3</v>
      </c>
      <c r="C43" s="19">
        <f t="shared" ref="C43:AB43" si="19">C29/C$36</f>
        <v>0</v>
      </c>
      <c r="D43" s="19">
        <f t="shared" si="19"/>
        <v>0.3468554489</v>
      </c>
      <c r="E43" s="19">
        <f t="shared" si="19"/>
        <v>0.2997114303</v>
      </c>
      <c r="F43" s="19">
        <f t="shared" si="19"/>
        <v>0.2870991289</v>
      </c>
      <c r="G43" s="19">
        <f t="shared" si="19"/>
        <v>0.2785606541</v>
      </c>
      <c r="H43" s="19">
        <f t="shared" si="19"/>
        <v>0.2750068968</v>
      </c>
      <c r="I43" s="19">
        <f t="shared" si="19"/>
        <v>0.2669352732</v>
      </c>
      <c r="J43" s="19">
        <f t="shared" si="19"/>
        <v>0.2506115724</v>
      </c>
      <c r="K43" s="19">
        <f t="shared" si="19"/>
        <v>0.2434974803</v>
      </c>
      <c r="L43" s="19">
        <f t="shared" si="19"/>
        <v>0.2388782857</v>
      </c>
      <c r="M43" s="19">
        <f t="shared" si="19"/>
        <v>0.2444150057</v>
      </c>
      <c r="N43" s="19">
        <f t="shared" si="19"/>
        <v>0.2339658945</v>
      </c>
      <c r="O43" s="19">
        <f t="shared" si="19"/>
        <v>0.2240260777</v>
      </c>
      <c r="P43" s="19">
        <f t="shared" si="19"/>
        <v>0.2146970917</v>
      </c>
      <c r="Q43" s="19">
        <f t="shared" si="19"/>
        <v>0.2079468983</v>
      </c>
      <c r="R43" s="19">
        <f t="shared" si="19"/>
        <v>0.2046631633</v>
      </c>
      <c r="S43" s="19">
        <f t="shared" si="19"/>
        <v>0.206814333</v>
      </c>
      <c r="T43" s="19">
        <f t="shared" si="19"/>
        <v>0.2047504989</v>
      </c>
      <c r="U43" s="19">
        <f t="shared" si="19"/>
        <v>0.2025367506</v>
      </c>
      <c r="V43" s="19">
        <f t="shared" si="19"/>
        <v>0.2045580945</v>
      </c>
      <c r="W43" s="19">
        <f t="shared" si="19"/>
        <v>0.2034271349</v>
      </c>
      <c r="X43" s="19">
        <f t="shared" si="19"/>
        <v>0.2033973776</v>
      </c>
      <c r="Y43" s="19">
        <f t="shared" si="19"/>
        <v>0.202344418</v>
      </c>
      <c r="Z43" s="19">
        <f t="shared" si="19"/>
        <v>0.1940744769</v>
      </c>
      <c r="AA43" s="19">
        <f t="shared" si="19"/>
        <v>0.1933677054</v>
      </c>
      <c r="AB43" s="19">
        <f t="shared" si="19"/>
        <v>0.1866068325</v>
      </c>
    </row>
    <row r="44">
      <c r="B44" s="6" t="s">
        <v>4</v>
      </c>
      <c r="C44" s="19">
        <f t="shared" ref="C44:AB44" si="20">C30/C$36</f>
        <v>0</v>
      </c>
      <c r="D44" s="19">
        <f t="shared" si="20"/>
        <v>0</v>
      </c>
      <c r="E44" s="19">
        <f t="shared" si="20"/>
        <v>0</v>
      </c>
      <c r="F44" s="19">
        <f t="shared" si="20"/>
        <v>0.1148396515</v>
      </c>
      <c r="G44" s="19">
        <f t="shared" si="20"/>
        <v>0.1101339325</v>
      </c>
      <c r="H44" s="19">
        <f t="shared" si="20"/>
        <v>0.103175446</v>
      </c>
      <c r="I44" s="19">
        <f t="shared" si="20"/>
        <v>0.08298002546</v>
      </c>
      <c r="J44" s="19">
        <f t="shared" si="20"/>
        <v>0.1915719763</v>
      </c>
      <c r="K44" s="19">
        <f t="shared" si="20"/>
        <v>0.1920980085</v>
      </c>
      <c r="L44" s="19">
        <f t="shared" si="20"/>
        <v>0.1832688637</v>
      </c>
      <c r="M44" s="19">
        <f t="shared" si="20"/>
        <v>0.1937203975</v>
      </c>
      <c r="N44" s="19">
        <f t="shared" si="20"/>
        <v>0.189105075</v>
      </c>
      <c r="O44" s="19">
        <f t="shared" si="20"/>
        <v>0.1854831091</v>
      </c>
      <c r="P44" s="19">
        <f t="shared" si="20"/>
        <v>0.1834059269</v>
      </c>
      <c r="Q44" s="19">
        <f t="shared" si="20"/>
        <v>0.1816531941</v>
      </c>
      <c r="R44" s="19">
        <f t="shared" si="20"/>
        <v>0.1770282602</v>
      </c>
      <c r="S44" s="19">
        <f t="shared" si="20"/>
        <v>0.18064471</v>
      </c>
      <c r="T44" s="19">
        <f t="shared" si="20"/>
        <v>0.1836240142</v>
      </c>
      <c r="U44" s="19">
        <f t="shared" si="20"/>
        <v>0.1857169672</v>
      </c>
      <c r="V44" s="19">
        <f t="shared" si="20"/>
        <v>0.1906323641</v>
      </c>
      <c r="W44" s="19">
        <f t="shared" si="20"/>
        <v>0.202718127</v>
      </c>
      <c r="X44" s="19">
        <f t="shared" si="20"/>
        <v>0.209895269</v>
      </c>
      <c r="Y44" s="19">
        <f t="shared" si="20"/>
        <v>0.2407113011</v>
      </c>
      <c r="Z44" s="19">
        <f t="shared" si="20"/>
        <v>0.2344697335</v>
      </c>
      <c r="AA44" s="19">
        <f t="shared" si="20"/>
        <v>0.2398487775</v>
      </c>
      <c r="AB44" s="19">
        <f t="shared" si="20"/>
        <v>0.2235900541</v>
      </c>
    </row>
    <row r="45">
      <c r="B45" s="6" t="s">
        <v>5</v>
      </c>
      <c r="C45" s="19">
        <f t="shared" ref="C45:AB45" si="21">C31/C$36</f>
        <v>0.2113698856</v>
      </c>
      <c r="D45" s="19">
        <f t="shared" si="21"/>
        <v>0.211443329</v>
      </c>
      <c r="E45" s="19">
        <f t="shared" si="21"/>
        <v>0.1742220297</v>
      </c>
      <c r="F45" s="19">
        <f t="shared" si="21"/>
        <v>0.1512631285</v>
      </c>
      <c r="G45" s="19">
        <f t="shared" si="21"/>
        <v>0.1568357447</v>
      </c>
      <c r="H45" s="19">
        <f t="shared" si="21"/>
        <v>0.1571250538</v>
      </c>
      <c r="I45" s="19">
        <f t="shared" si="21"/>
        <v>0.1645652928</v>
      </c>
      <c r="J45" s="19">
        <f t="shared" si="21"/>
        <v>0.1780521897</v>
      </c>
      <c r="K45" s="19">
        <f t="shared" si="21"/>
        <v>0.1830853982</v>
      </c>
      <c r="L45" s="19">
        <f t="shared" si="21"/>
        <v>0.1869639299</v>
      </c>
      <c r="M45" s="19">
        <f t="shared" si="21"/>
        <v>0.1669852384</v>
      </c>
      <c r="N45" s="19">
        <f t="shared" si="21"/>
        <v>0.1757189104</v>
      </c>
      <c r="O45" s="19">
        <f t="shared" si="21"/>
        <v>0.1852635743</v>
      </c>
      <c r="P45" s="19">
        <f t="shared" si="21"/>
        <v>0.1449267426</v>
      </c>
      <c r="Q45" s="19">
        <f t="shared" si="21"/>
        <v>0.1529024783</v>
      </c>
      <c r="R45" s="19">
        <f t="shared" si="21"/>
        <v>0.1550299259</v>
      </c>
      <c r="S45" s="19">
        <f t="shared" si="21"/>
        <v>0.1303295313</v>
      </c>
      <c r="T45" s="19">
        <f t="shared" si="21"/>
        <v>0.1338294168</v>
      </c>
      <c r="U45" s="19">
        <f t="shared" si="21"/>
        <v>0.1406139212</v>
      </c>
      <c r="V45" s="19">
        <f t="shared" si="21"/>
        <v>0.1435467785</v>
      </c>
      <c r="W45" s="19">
        <f t="shared" si="21"/>
        <v>0.1381335572</v>
      </c>
      <c r="X45" s="19">
        <f t="shared" si="21"/>
        <v>0.1373600938</v>
      </c>
      <c r="Y45" s="19">
        <f t="shared" si="21"/>
        <v>0.1348435092</v>
      </c>
      <c r="Z45" s="19">
        <f t="shared" si="21"/>
        <v>0.1452472634</v>
      </c>
      <c r="AA45" s="19">
        <f t="shared" si="21"/>
        <v>0.1488917516</v>
      </c>
      <c r="AB45" s="19">
        <f t="shared" si="21"/>
        <v>0.1609240848</v>
      </c>
    </row>
    <row r="46">
      <c r="B46" s="6" t="s">
        <v>6</v>
      </c>
      <c r="C46" s="19">
        <f t="shared" ref="C46:AB46" si="22">C32/C$36</f>
        <v>0.04803961576</v>
      </c>
      <c r="D46" s="19">
        <f t="shared" si="22"/>
        <v>0.04340353557</v>
      </c>
      <c r="E46" s="19">
        <f t="shared" si="22"/>
        <v>0.05790424834</v>
      </c>
      <c r="F46" s="19">
        <f t="shared" si="22"/>
        <v>0.05297316269</v>
      </c>
      <c r="G46" s="19">
        <f t="shared" si="22"/>
        <v>0.05508059532</v>
      </c>
      <c r="H46" s="19">
        <f t="shared" si="22"/>
        <v>0.05402282475</v>
      </c>
      <c r="I46" s="19">
        <f t="shared" si="22"/>
        <v>0.05552372347</v>
      </c>
      <c r="J46" s="19">
        <f t="shared" si="22"/>
        <v>0.05003765675</v>
      </c>
      <c r="K46" s="19">
        <f t="shared" si="22"/>
        <v>0.04915830803</v>
      </c>
      <c r="L46" s="19">
        <f t="shared" si="22"/>
        <v>0.04618381944</v>
      </c>
      <c r="M46" s="19">
        <f t="shared" si="22"/>
        <v>0.0429350116</v>
      </c>
      <c r="N46" s="19">
        <f t="shared" si="22"/>
        <v>0.04333545746</v>
      </c>
      <c r="O46" s="19">
        <f t="shared" si="22"/>
        <v>0.04345408583</v>
      </c>
      <c r="P46" s="19">
        <f t="shared" si="22"/>
        <v>0.04317993411</v>
      </c>
      <c r="Q46" s="19">
        <f t="shared" si="22"/>
        <v>0.0416233082</v>
      </c>
      <c r="R46" s="19">
        <f t="shared" si="22"/>
        <v>0.04193576023</v>
      </c>
      <c r="S46" s="19">
        <f t="shared" si="22"/>
        <v>0.04233620114</v>
      </c>
      <c r="T46" s="19">
        <f t="shared" si="22"/>
        <v>0.0426586581</v>
      </c>
      <c r="U46" s="19">
        <f t="shared" si="22"/>
        <v>0.04276933455</v>
      </c>
      <c r="V46" s="19">
        <f t="shared" si="22"/>
        <v>0.05037170607</v>
      </c>
      <c r="W46" s="19">
        <f t="shared" si="22"/>
        <v>0.04876436573</v>
      </c>
      <c r="X46" s="19">
        <f t="shared" si="22"/>
        <v>0.04825079298</v>
      </c>
      <c r="Y46" s="19">
        <f t="shared" si="22"/>
        <v>0.04631124696</v>
      </c>
      <c r="Z46" s="19">
        <f t="shared" si="22"/>
        <v>0.04899442569</v>
      </c>
      <c r="AA46" s="19">
        <f t="shared" si="22"/>
        <v>0.05044166428</v>
      </c>
      <c r="AB46" s="19">
        <f t="shared" si="22"/>
        <v>0.04857872043</v>
      </c>
    </row>
    <row r="47">
      <c r="B47" s="6" t="s">
        <v>7</v>
      </c>
      <c r="C47" s="19">
        <f t="shared" ref="C47:AB47" si="23">C33/C$36</f>
        <v>0.03577568896</v>
      </c>
      <c r="D47" s="19">
        <f t="shared" si="23"/>
        <v>0.05274261603</v>
      </c>
      <c r="E47" s="19">
        <f t="shared" si="23"/>
        <v>0.0748679153</v>
      </c>
      <c r="F47" s="19">
        <f t="shared" si="23"/>
        <v>0.07133645362</v>
      </c>
      <c r="G47" s="19">
        <f t="shared" si="23"/>
        <v>0.07255520222</v>
      </c>
      <c r="H47" s="19">
        <f t="shared" si="23"/>
        <v>0.07187956577</v>
      </c>
      <c r="I47" s="19">
        <f t="shared" si="23"/>
        <v>0</v>
      </c>
      <c r="J47" s="19">
        <f t="shared" si="23"/>
        <v>0</v>
      </c>
      <c r="K47" s="19">
        <f t="shared" si="23"/>
        <v>0</v>
      </c>
      <c r="L47" s="19">
        <f t="shared" si="23"/>
        <v>0</v>
      </c>
      <c r="M47" s="19">
        <f t="shared" si="23"/>
        <v>0</v>
      </c>
      <c r="N47" s="19">
        <f t="shared" si="23"/>
        <v>0</v>
      </c>
      <c r="O47" s="19">
        <f t="shared" si="23"/>
        <v>0</v>
      </c>
      <c r="P47" s="19">
        <f t="shared" si="23"/>
        <v>0</v>
      </c>
      <c r="Q47" s="19">
        <f t="shared" si="23"/>
        <v>0</v>
      </c>
      <c r="R47" s="19">
        <f t="shared" si="23"/>
        <v>0</v>
      </c>
      <c r="S47" s="19">
        <f t="shared" si="23"/>
        <v>0</v>
      </c>
      <c r="T47" s="19">
        <f t="shared" si="23"/>
        <v>0</v>
      </c>
      <c r="U47" s="19">
        <f t="shared" si="23"/>
        <v>0</v>
      </c>
      <c r="V47" s="19">
        <f t="shared" si="23"/>
        <v>0</v>
      </c>
      <c r="W47" s="19">
        <f t="shared" si="23"/>
        <v>0</v>
      </c>
      <c r="X47" s="19">
        <f t="shared" si="23"/>
        <v>0</v>
      </c>
      <c r="Y47" s="19">
        <f t="shared" si="23"/>
        <v>0</v>
      </c>
      <c r="Z47" s="19">
        <f t="shared" si="23"/>
        <v>0</v>
      </c>
      <c r="AA47" s="19">
        <f t="shared" si="23"/>
        <v>0</v>
      </c>
      <c r="AB47" s="19">
        <f t="shared" si="23"/>
        <v>0</v>
      </c>
    </row>
    <row r="48">
      <c r="B48" s="6" t="s">
        <v>8</v>
      </c>
      <c r="C48" s="19">
        <f t="shared" ref="C48:AB48" si="24">C34/C$36</f>
        <v>0.05467533784</v>
      </c>
      <c r="D48" s="19">
        <f t="shared" si="24"/>
        <v>0.005728939328</v>
      </c>
      <c r="E48" s="19">
        <f t="shared" si="24"/>
        <v>0.01026511649</v>
      </c>
      <c r="F48" s="19">
        <f t="shared" si="24"/>
        <v>0.009833145164</v>
      </c>
      <c r="G48" s="19">
        <f t="shared" si="24"/>
        <v>0.007847318025</v>
      </c>
      <c r="H48" s="19">
        <f t="shared" si="24"/>
        <v>0.008838293513</v>
      </c>
      <c r="I48" s="19">
        <f t="shared" si="24"/>
        <v>0.01434399749</v>
      </c>
      <c r="J48" s="19">
        <f t="shared" si="24"/>
        <v>0.01323717289</v>
      </c>
      <c r="K48" s="19">
        <f t="shared" si="24"/>
        <v>0.01152086992</v>
      </c>
      <c r="L48" s="19">
        <f t="shared" si="24"/>
        <v>0.01097219245</v>
      </c>
      <c r="M48" s="19">
        <f t="shared" si="24"/>
        <v>0.01025113611</v>
      </c>
      <c r="N48" s="19">
        <f t="shared" si="24"/>
        <v>0.01062937723</v>
      </c>
      <c r="O48" s="19">
        <f t="shared" si="24"/>
        <v>0.01142323322</v>
      </c>
      <c r="P48" s="19">
        <f t="shared" si="24"/>
        <v>0.01088628804</v>
      </c>
      <c r="Q48" s="19">
        <f t="shared" si="24"/>
        <v>0.01113585447</v>
      </c>
      <c r="R48" s="19">
        <f t="shared" si="24"/>
        <v>0.01097215994</v>
      </c>
      <c r="S48" s="19">
        <f t="shared" si="24"/>
        <v>0.01102605243</v>
      </c>
      <c r="T48" s="19">
        <f t="shared" si="24"/>
        <v>0.01000145871</v>
      </c>
      <c r="U48" s="19">
        <f t="shared" si="24"/>
        <v>0.007480914621</v>
      </c>
      <c r="V48" s="19">
        <f t="shared" si="24"/>
        <v>0.007514110596</v>
      </c>
      <c r="W48" s="19">
        <f t="shared" si="24"/>
        <v>0.005252026374</v>
      </c>
      <c r="X48" s="19">
        <f t="shared" si="24"/>
        <v>0.005672682776</v>
      </c>
      <c r="Y48" s="19">
        <f t="shared" si="24"/>
        <v>0.005612635523</v>
      </c>
      <c r="Z48" s="19">
        <f t="shared" si="24"/>
        <v>0.005354069396</v>
      </c>
      <c r="AA48" s="19">
        <f t="shared" si="24"/>
        <v>0.005940360218</v>
      </c>
      <c r="AB48" s="19">
        <f t="shared" si="24"/>
        <v>0.004790413429</v>
      </c>
    </row>
    <row r="49">
      <c r="B49" s="6" t="s">
        <v>9</v>
      </c>
      <c r="C49" s="19">
        <f t="shared" ref="C49:AB49" si="25">C35/C$36</f>
        <v>0.4637462746</v>
      </c>
      <c r="D49" s="19">
        <f t="shared" si="25"/>
        <v>0.07754073912</v>
      </c>
      <c r="E49" s="19">
        <f t="shared" si="25"/>
        <v>0.1506970801</v>
      </c>
      <c r="F49" s="19">
        <f t="shared" si="25"/>
        <v>0.08638403671</v>
      </c>
      <c r="G49" s="19">
        <f t="shared" si="25"/>
        <v>0.1001958594</v>
      </c>
      <c r="H49" s="19">
        <f t="shared" si="25"/>
        <v>0.11469039</v>
      </c>
      <c r="I49" s="19">
        <f t="shared" si="25"/>
        <v>0.20304274</v>
      </c>
      <c r="J49" s="19">
        <f t="shared" si="25"/>
        <v>0.1100282836</v>
      </c>
      <c r="K49" s="19">
        <f t="shared" si="25"/>
        <v>0.1194070158</v>
      </c>
      <c r="L49" s="19">
        <f t="shared" si="25"/>
        <v>0.1356987495</v>
      </c>
      <c r="M49" s="19">
        <f t="shared" si="25"/>
        <v>0.1375289997</v>
      </c>
      <c r="N49" s="19">
        <f t="shared" si="25"/>
        <v>0.152085766</v>
      </c>
      <c r="O49" s="19">
        <f t="shared" si="25"/>
        <v>0.1645306857</v>
      </c>
      <c r="P49" s="19">
        <f t="shared" si="25"/>
        <v>0.2227350278</v>
      </c>
      <c r="Q49" s="19">
        <f t="shared" si="25"/>
        <v>0.2297157259</v>
      </c>
      <c r="R49" s="19">
        <f t="shared" si="25"/>
        <v>0.2376790296</v>
      </c>
      <c r="S49" s="19">
        <f t="shared" si="25"/>
        <v>0.253760865</v>
      </c>
      <c r="T49" s="19">
        <f t="shared" si="25"/>
        <v>0.2512962406</v>
      </c>
      <c r="U49" s="19">
        <f t="shared" si="25"/>
        <v>0.2482224359</v>
      </c>
      <c r="V49" s="19">
        <f t="shared" si="25"/>
        <v>0.2282945235</v>
      </c>
      <c r="W49" s="19">
        <f t="shared" si="25"/>
        <v>0.2239718784</v>
      </c>
      <c r="X49" s="19">
        <f t="shared" si="25"/>
        <v>0.1748038284</v>
      </c>
      <c r="Y49" s="19">
        <f t="shared" si="25"/>
        <v>0.150271119</v>
      </c>
      <c r="Z49" s="19">
        <f t="shared" si="25"/>
        <v>0.1605356414</v>
      </c>
      <c r="AA49" s="19">
        <f t="shared" si="25"/>
        <v>0.2028440839</v>
      </c>
      <c r="AB49" s="19">
        <f t="shared" si="25"/>
        <v>0.2120015324</v>
      </c>
    </row>
    <row r="50">
      <c r="B50" s="14" t="s">
        <v>10</v>
      </c>
      <c r="C50" s="20">
        <f>C36/C$36</f>
        <v>1</v>
      </c>
      <c r="D50" s="20">
        <f t="shared" ref="D50:AB50" si="26">D36/$C$36</f>
        <v>1.366485807</v>
      </c>
      <c r="E50" s="20">
        <f t="shared" si="26"/>
        <v>1.658423655</v>
      </c>
      <c r="F50" s="20">
        <f t="shared" si="26"/>
        <v>1.731278419</v>
      </c>
      <c r="G50" s="20">
        <f t="shared" si="26"/>
        <v>1.805251169</v>
      </c>
      <c r="H50" s="20">
        <f t="shared" si="26"/>
        <v>1.849923032</v>
      </c>
      <c r="I50" s="20">
        <f t="shared" si="26"/>
        <v>1.905861246</v>
      </c>
      <c r="J50" s="20">
        <f t="shared" si="26"/>
        <v>2.065219601</v>
      </c>
      <c r="K50" s="20">
        <f t="shared" si="26"/>
        <v>2.137751283</v>
      </c>
      <c r="L50" s="20">
        <f t="shared" si="26"/>
        <v>2.191514288</v>
      </c>
      <c r="M50" s="20">
        <f t="shared" si="26"/>
        <v>2.154042297</v>
      </c>
      <c r="N50" s="20">
        <f t="shared" si="26"/>
        <v>2.262989245</v>
      </c>
      <c r="O50" s="20">
        <f t="shared" si="26"/>
        <v>2.376738054</v>
      </c>
      <c r="P50" s="20">
        <f t="shared" si="26"/>
        <v>2.493966079</v>
      </c>
      <c r="Q50" s="20">
        <f t="shared" si="26"/>
        <v>2.589363857</v>
      </c>
      <c r="R50" s="20">
        <f t="shared" si="26"/>
        <v>2.645616827</v>
      </c>
      <c r="S50" s="20">
        <f t="shared" si="26"/>
        <v>2.632685737</v>
      </c>
      <c r="T50" s="20">
        <f t="shared" si="26"/>
        <v>2.673991961</v>
      </c>
      <c r="U50" s="20">
        <f t="shared" si="26"/>
        <v>2.718184172</v>
      </c>
      <c r="V50" s="20">
        <f t="shared" si="26"/>
        <v>2.706175729</v>
      </c>
      <c r="W50" s="21">
        <f t="shared" si="26"/>
        <v>2.736190128</v>
      </c>
      <c r="X50" s="21">
        <f t="shared" si="26"/>
        <v>2.75159739</v>
      </c>
      <c r="Y50" s="21">
        <f t="shared" si="26"/>
        <v>2.781035586</v>
      </c>
      <c r="Z50" s="21">
        <f t="shared" si="26"/>
        <v>2.915341204</v>
      </c>
      <c r="AA50" s="21">
        <f t="shared" si="26"/>
        <v>2.94108956</v>
      </c>
      <c r="AB50" s="21">
        <f t="shared" si="26"/>
        <v>3.063328953</v>
      </c>
    </row>
    <row r="51">
      <c r="D51" s="22">
        <f t="shared" ref="D51:AB51" si="27">D50/C50-1</f>
        <v>0.3664858073</v>
      </c>
      <c r="E51" s="22">
        <f t="shared" si="27"/>
        <v>0.213641332</v>
      </c>
      <c r="F51" s="22">
        <f t="shared" si="27"/>
        <v>0.04393012797</v>
      </c>
      <c r="G51" s="22">
        <f t="shared" si="27"/>
        <v>0.04272724075</v>
      </c>
      <c r="H51" s="22">
        <f t="shared" si="27"/>
        <v>0.02474551146</v>
      </c>
      <c r="I51" s="22">
        <f t="shared" si="27"/>
        <v>0.03023813041</v>
      </c>
      <c r="J51" s="22">
        <f t="shared" si="27"/>
        <v>0.08361487775</v>
      </c>
      <c r="K51" s="22">
        <f t="shared" si="27"/>
        <v>0.03512056628</v>
      </c>
      <c r="L51" s="22">
        <f t="shared" si="27"/>
        <v>0.02514932663</v>
      </c>
      <c r="M51" s="22">
        <f t="shared" si="27"/>
        <v>-0.01709867534</v>
      </c>
      <c r="N51" s="22">
        <f t="shared" si="27"/>
        <v>0.05057790563</v>
      </c>
      <c r="O51" s="22">
        <f t="shared" si="27"/>
        <v>0.05026484762</v>
      </c>
      <c r="P51" s="22">
        <f t="shared" si="27"/>
        <v>0.04932307318</v>
      </c>
      <c r="Q51" s="22">
        <f t="shared" si="27"/>
        <v>0.03825143364</v>
      </c>
      <c r="R51" s="22">
        <f t="shared" si="27"/>
        <v>0.02172462928</v>
      </c>
      <c r="S51" s="22">
        <f t="shared" si="27"/>
        <v>-0.004887741132</v>
      </c>
      <c r="T51" s="22">
        <f t="shared" si="27"/>
        <v>0.01568976618</v>
      </c>
      <c r="U51" s="22">
        <f t="shared" si="27"/>
        <v>0.01652668082</v>
      </c>
      <c r="V51" s="22">
        <f t="shared" si="27"/>
        <v>-0.00441781833</v>
      </c>
      <c r="W51" s="22">
        <f t="shared" si="27"/>
        <v>0.01109107556</v>
      </c>
      <c r="X51" s="22">
        <f t="shared" si="27"/>
        <v>0.005630917794</v>
      </c>
      <c r="Y51" s="22">
        <f t="shared" si="27"/>
        <v>0.01069858407</v>
      </c>
      <c r="Z51" s="22">
        <f t="shared" si="27"/>
        <v>0.04829338356</v>
      </c>
      <c r="AA51" s="22">
        <f t="shared" si="27"/>
        <v>0.008832021523</v>
      </c>
      <c r="AB51" s="22">
        <f t="shared" si="27"/>
        <v>0.0415626216</v>
      </c>
    </row>
  </sheetData>
  <drawing r:id="rId1"/>
</worksheet>
</file>